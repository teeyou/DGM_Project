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tyProject_Github\DGM_Project\Assets\StreamingAssets\"/>
    </mc:Choice>
  </mc:AlternateContent>
  <xr:revisionPtr revIDLastSave="0" documentId="13_ncr:1_{054A603D-EA89-4358-9F3C-C87BCA9CB73B}" xr6:coauthVersionLast="47" xr6:coauthVersionMax="47" xr10:uidLastSave="{00000000-0000-0000-0000-000000000000}"/>
  <bookViews>
    <workbookView xWindow="-103" yWindow="-103" windowWidth="24892" windowHeight="14914" activeTab="3" xr2:uid="{8B4AE715-026E-4734-A174-D6D3038A81A1}"/>
  </bookViews>
  <sheets>
    <sheet name="PlayerStatus" sheetId="10" r:id="rId1"/>
    <sheet name="EnemyStatus" sheetId="4" r:id="rId2"/>
    <sheet name="GrowthType" sheetId="3" r:id="rId3"/>
    <sheet name="LevelExp" sheetId="11" r:id="rId4"/>
    <sheet name="Sheet1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3" i="4" l="1" a="1"/>
  <c r="K13" i="4" a="1"/>
  <c r="L13" i="4" a="1"/>
  <c r="M13" i="4" a="1"/>
  <c r="N13" i="4" a="1"/>
  <c r="J14" i="4" a="1"/>
  <c r="K14" i="4" a="1"/>
  <c r="L14" i="4" a="1"/>
  <c r="M14" i="4" a="1"/>
  <c r="N14" i="4" a="1"/>
  <c r="J15" i="4" a="1"/>
  <c r="K15" i="4" a="1"/>
  <c r="L15" i="4" a="1"/>
  <c r="M15" i="4" a="1"/>
  <c r="N15" i="4" a="1"/>
  <c r="J16" i="4" a="1"/>
  <c r="K16" i="4" a="1"/>
  <c r="L16" i="4" a="1"/>
  <c r="M16" i="4" a="1"/>
  <c r="N16" i="4" a="1"/>
  <c r="J17" i="4" a="1"/>
  <c r="K17" i="4" a="1"/>
  <c r="L17" i="4" a="1"/>
  <c r="M17" i="4" a="1"/>
  <c r="N17" i="4" a="1"/>
  <c r="J18" i="4" a="1"/>
  <c r="K18" i="4" a="1"/>
  <c r="L18" i="4" a="1"/>
  <c r="M18" i="4" a="1"/>
  <c r="N18" i="4" a="1"/>
  <c r="J19" i="4" a="1"/>
  <c r="K19" i="4" a="1"/>
  <c r="L19" i="4" a="1"/>
  <c r="M19" i="4" a="1"/>
  <c r="N19" i="4" a="1"/>
  <c r="J20" i="4" a="1"/>
  <c r="K20" i="4" a="1"/>
  <c r="L20" i="4" a="1"/>
  <c r="M20" i="4" a="1"/>
  <c r="N20" i="4" a="1"/>
  <c r="J21" i="4" a="1"/>
  <c r="K21" i="4" a="1"/>
  <c r="L21" i="4" a="1"/>
  <c r="M21" i="4" a="1"/>
  <c r="N21" i="4" a="1"/>
  <c r="J22" i="4" a="1"/>
  <c r="K22" i="4" a="1"/>
  <c r="L22" i="4" a="1"/>
  <c r="M22" i="4" a="1"/>
  <c r="N22" i="4" a="1"/>
  <c r="J23" i="4" a="1"/>
  <c r="K23" i="4" a="1"/>
  <c r="L23" i="4" a="1"/>
  <c r="M23" i="4" a="1"/>
  <c r="N23" i="4" a="1"/>
  <c r="J24" i="4" a="1"/>
  <c r="K24" i="4" a="1"/>
  <c r="L24" i="4" a="1"/>
  <c r="M24" i="4" a="1"/>
  <c r="N24" i="4" a="1"/>
  <c r="J25" i="4" a="1"/>
  <c r="K25" i="4" a="1"/>
  <c r="L25" i="4" a="1"/>
  <c r="M25" i="4" a="1"/>
  <c r="N25" i="4" a="1"/>
  <c r="J26" i="4" a="1"/>
  <c r="K26" i="4" a="1"/>
  <c r="L26" i="4" a="1"/>
  <c r="M26" i="4" a="1"/>
  <c r="N26" i="4" a="1"/>
  <c r="J27" i="4" a="1"/>
  <c r="K27" i="4" a="1"/>
  <c r="L27" i="4" a="1"/>
  <c r="M27" i="4" a="1"/>
  <c r="N27" i="4" a="1"/>
  <c r="J28" i="4" a="1"/>
  <c r="K28" i="4" a="1"/>
  <c r="L28" i="4" a="1"/>
  <c r="M28" i="4" a="1"/>
  <c r="N28" i="4" a="1"/>
  <c r="J29" i="4" a="1"/>
  <c r="K29" i="4" a="1"/>
  <c r="L29" i="4" a="1"/>
  <c r="M29" i="4" a="1"/>
  <c r="N29" i="4" a="1"/>
  <c r="J30" i="4" a="1"/>
  <c r="K30" i="4" a="1"/>
  <c r="L30" i="4" a="1"/>
  <c r="M30" i="4" a="1"/>
  <c r="N30" i="4" a="1"/>
  <c r="J31" i="4" a="1"/>
  <c r="K31" i="4" a="1"/>
  <c r="L31" i="4" a="1"/>
  <c r="M31" i="4" a="1"/>
  <c r="N31" i="4" a="1"/>
  <c r="J32" i="4" a="1"/>
  <c r="K32" i="4" a="1"/>
  <c r="L32" i="4" a="1"/>
  <c r="M32" i="4" a="1"/>
  <c r="N32" i="4" a="1"/>
  <c r="J33" i="4" a="1"/>
  <c r="K33" i="4" a="1"/>
  <c r="L33" i="4" a="1"/>
  <c r="M33" i="4" a="1"/>
  <c r="N33" i="4" a="1"/>
  <c r="J34" i="4" a="1"/>
  <c r="K34" i="4" a="1"/>
  <c r="L34" i="4" a="1"/>
  <c r="M34" i="4" a="1"/>
  <c r="N34" i="4" a="1"/>
  <c r="J35" i="4" a="1"/>
  <c r="K35" i="4" a="1"/>
  <c r="L35" i="4" a="1"/>
  <c r="M35" i="4" a="1"/>
  <c r="N35" i="4" a="1"/>
  <c r="J36" i="4" a="1"/>
  <c r="K36" i="4" a="1"/>
  <c r="L36" i="4" a="1"/>
  <c r="M36" i="4" a="1"/>
  <c r="N36" i="4" a="1"/>
  <c r="J37" i="4" a="1"/>
  <c r="K37" i="4" a="1"/>
  <c r="L37" i="4" a="1"/>
  <c r="M37" i="4" a="1"/>
  <c r="N37" i="4" a="1"/>
  <c r="J38" i="4" a="1"/>
  <c r="K38" i="4" a="1"/>
  <c r="L38" i="4" a="1"/>
  <c r="M38" i="4" a="1"/>
  <c r="N38" i="4" a="1"/>
  <c r="J39" i="4" a="1"/>
  <c r="K39" i="4" a="1"/>
  <c r="L39" i="4" a="1"/>
  <c r="M39" i="4" a="1"/>
  <c r="N39" i="4" a="1"/>
  <c r="J40" i="4" a="1"/>
  <c r="K40" i="4" a="1"/>
  <c r="L40" i="4" a="1"/>
  <c r="M40" i="4" a="1"/>
  <c r="N40" i="4" a="1"/>
  <c r="J41" i="4" a="1"/>
  <c r="K41" i="4" a="1"/>
  <c r="L41" i="4" a="1"/>
  <c r="M41" i="4" a="1"/>
  <c r="N41" i="4" a="1"/>
  <c r="J42" i="4" a="1"/>
  <c r="K42" i="4" a="1"/>
  <c r="L42" i="4" a="1"/>
  <c r="M42" i="4" a="1"/>
  <c r="N42" i="4" a="1"/>
  <c r="J43" i="4" a="1"/>
  <c r="K43" i="4" a="1"/>
  <c r="L43" i="4" a="1"/>
  <c r="M43" i="4" a="1"/>
  <c r="N43" i="4" a="1"/>
  <c r="J44" i="4" a="1"/>
  <c r="K44" i="4" a="1"/>
  <c r="L44" i="4" a="1"/>
  <c r="M44" i="4" a="1"/>
  <c r="N44" i="4" a="1"/>
  <c r="J45" i="4" a="1"/>
  <c r="K45" i="4" a="1"/>
  <c r="L45" i="4" a="1"/>
  <c r="M45" i="4" a="1"/>
  <c r="N45" i="4" a="1"/>
  <c r="N12" i="4" a="1"/>
  <c r="M12" i="4" a="1"/>
  <c r="L12" i="4" a="1"/>
  <c r="K12" i="4" a="1"/>
  <c r="J12" i="4" a="1"/>
  <c r="S47" i="12"/>
  <c r="N47" i="12" a="1"/>
  <c r="M47" i="12" a="1"/>
  <c r="L47" i="12" a="1"/>
  <c r="K47" i="12" a="1"/>
  <c r="J47" i="12" a="1"/>
  <c r="S46" i="12"/>
  <c r="N46" i="12" a="1"/>
  <c r="M46" i="12" a="1"/>
  <c r="L46" i="12" a="1"/>
  <c r="K46" i="12" a="1"/>
  <c r="J46" i="12" a="1"/>
  <c r="S45" i="12"/>
  <c r="N45" i="12" a="1"/>
  <c r="M45" i="12" a="1"/>
  <c r="L45" i="12" a="1"/>
  <c r="K45" i="12" a="1"/>
  <c r="J45" i="12" a="1"/>
  <c r="S44" i="12"/>
  <c r="N44" i="12" a="1"/>
  <c r="M44" i="12" a="1"/>
  <c r="L44" i="12" a="1"/>
  <c r="K44" i="12" a="1"/>
  <c r="J44" i="12" a="1"/>
  <c r="S43" i="12"/>
  <c r="N43" i="12" a="1"/>
  <c r="M43" i="12" a="1"/>
  <c r="L43" i="12" a="1"/>
  <c r="K43" i="12" a="1"/>
  <c r="J43" i="12" a="1"/>
  <c r="S42" i="12"/>
  <c r="N42" i="12" a="1"/>
  <c r="M42" i="12" a="1"/>
  <c r="L42" i="12" a="1"/>
  <c r="K42" i="12" a="1"/>
  <c r="J42" i="12" a="1"/>
  <c r="S41" i="12"/>
  <c r="N41" i="12" a="1"/>
  <c r="M41" i="12" a="1"/>
  <c r="L41" i="12" a="1"/>
  <c r="K41" i="12" a="1"/>
  <c r="J41" i="12" a="1"/>
  <c r="S40" i="12"/>
  <c r="N40" i="12" a="1"/>
  <c r="M40" i="12" a="1"/>
  <c r="L40" i="12" a="1"/>
  <c r="K40" i="12" a="1"/>
  <c r="J40" i="12" a="1"/>
  <c r="S39" i="12"/>
  <c r="N39" i="12" a="1"/>
  <c r="M39" i="12" a="1"/>
  <c r="L39" i="12" a="1"/>
  <c r="K39" i="12" a="1"/>
  <c r="J39" i="12" a="1"/>
  <c r="S38" i="12"/>
  <c r="N38" i="12" a="1"/>
  <c r="M38" i="12" a="1"/>
  <c r="L38" i="12" a="1"/>
  <c r="K38" i="12" a="1"/>
  <c r="J38" i="12" a="1"/>
  <c r="S37" i="12"/>
  <c r="N37" i="12" a="1"/>
  <c r="M37" i="12" a="1"/>
  <c r="L37" i="12" a="1"/>
  <c r="K37" i="12" a="1"/>
  <c r="J37" i="12" a="1"/>
  <c r="S36" i="12"/>
  <c r="N36" i="12" a="1"/>
  <c r="M36" i="12" a="1"/>
  <c r="L36" i="12" a="1"/>
  <c r="K36" i="12" a="1"/>
  <c r="J36" i="12" a="1"/>
  <c r="S35" i="12"/>
  <c r="N35" i="12" a="1"/>
  <c r="M35" i="12" a="1"/>
  <c r="L35" i="12" a="1"/>
  <c r="K35" i="12" a="1"/>
  <c r="J35" i="12" a="1"/>
  <c r="S34" i="12"/>
  <c r="N34" i="12" a="1"/>
  <c r="M34" i="12" a="1"/>
  <c r="L34" i="12" a="1"/>
  <c r="K34" i="12" a="1"/>
  <c r="J34" i="12" a="1"/>
  <c r="S33" i="12"/>
  <c r="N33" i="12" a="1"/>
  <c r="M33" i="12" a="1"/>
  <c r="L33" i="12" a="1"/>
  <c r="K33" i="12" a="1"/>
  <c r="J33" i="12" a="1"/>
  <c r="S32" i="12"/>
  <c r="N32" i="12" a="1"/>
  <c r="M32" i="12" a="1"/>
  <c r="L32" i="12" a="1"/>
  <c r="K32" i="12" a="1"/>
  <c r="J32" i="12" a="1"/>
  <c r="S31" i="12"/>
  <c r="N31" i="12" a="1"/>
  <c r="M31" i="12" a="1"/>
  <c r="L31" i="12" a="1"/>
  <c r="K31" i="12" a="1"/>
  <c r="J31" i="12" a="1"/>
  <c r="S30" i="12"/>
  <c r="N30" i="12" a="1"/>
  <c r="M30" i="12" a="1"/>
  <c r="L30" i="12" a="1"/>
  <c r="K30" i="12" a="1"/>
  <c r="J30" i="12" a="1"/>
  <c r="S29" i="12"/>
  <c r="N29" i="12" a="1"/>
  <c r="M29" i="12" a="1"/>
  <c r="L29" i="12" a="1"/>
  <c r="K29" i="12" a="1"/>
  <c r="J29" i="12" a="1"/>
  <c r="S28" i="12"/>
  <c r="N28" i="12" a="1"/>
  <c r="M28" i="12" a="1"/>
  <c r="L28" i="12" a="1"/>
  <c r="K28" i="12" a="1"/>
  <c r="J28" i="12" a="1"/>
  <c r="S27" i="12"/>
  <c r="N27" i="12" a="1"/>
  <c r="M27" i="12" a="1"/>
  <c r="L27" i="12" a="1"/>
  <c r="K27" i="12" a="1"/>
  <c r="J27" i="12" a="1"/>
  <c r="S26" i="12"/>
  <c r="N26" i="12" a="1"/>
  <c r="M26" i="12" a="1"/>
  <c r="L26" i="12" a="1"/>
  <c r="K26" i="12" a="1"/>
  <c r="J26" i="12" a="1"/>
  <c r="S25" i="12"/>
  <c r="N25" i="12" a="1"/>
  <c r="M25" i="12" a="1"/>
  <c r="L25" i="12" a="1"/>
  <c r="K25" i="12" a="1"/>
  <c r="J25" i="12" a="1"/>
  <c r="S24" i="12"/>
  <c r="N24" i="12" a="1"/>
  <c r="M24" i="12" a="1"/>
  <c r="L24" i="12" a="1"/>
  <c r="K24" i="12" a="1"/>
  <c r="J24" i="12" a="1"/>
  <c r="S23" i="12"/>
  <c r="N23" i="12" a="1"/>
  <c r="M23" i="12" a="1"/>
  <c r="L23" i="12" a="1"/>
  <c r="K23" i="12" a="1"/>
  <c r="J23" i="12" a="1"/>
  <c r="S22" i="12"/>
  <c r="N22" i="12" a="1"/>
  <c r="M22" i="12" a="1"/>
  <c r="L22" i="12" a="1"/>
  <c r="K22" i="12" a="1"/>
  <c r="J22" i="12" a="1"/>
  <c r="S21" i="12"/>
  <c r="N21" i="12" a="1"/>
  <c r="M21" i="12" a="1"/>
  <c r="L21" i="12" a="1"/>
  <c r="K21" i="12" a="1"/>
  <c r="J21" i="12" a="1"/>
  <c r="S20" i="12"/>
  <c r="N20" i="12" a="1"/>
  <c r="M20" i="12" a="1"/>
  <c r="L20" i="12" a="1"/>
  <c r="K20" i="12" a="1"/>
  <c r="J20" i="12" a="1"/>
  <c r="S19" i="12"/>
  <c r="N19" i="12" a="1"/>
  <c r="M19" i="12" a="1"/>
  <c r="L19" i="12" a="1"/>
  <c r="K19" i="12" a="1"/>
  <c r="J19" i="12" a="1"/>
  <c r="S18" i="12"/>
  <c r="N18" i="12" a="1"/>
  <c r="M18" i="12" a="1"/>
  <c r="L18" i="12" a="1"/>
  <c r="K18" i="12" a="1"/>
  <c r="J18" i="12" a="1"/>
  <c r="S17" i="12"/>
  <c r="N17" i="12" a="1"/>
  <c r="M17" i="12" a="1"/>
  <c r="L17" i="12" a="1"/>
  <c r="K17" i="12" a="1"/>
  <c r="J17" i="12" a="1"/>
  <c r="S16" i="12"/>
  <c r="N16" i="12" a="1"/>
  <c r="M16" i="12" a="1"/>
  <c r="L16" i="12" a="1"/>
  <c r="K16" i="12" a="1"/>
  <c r="J16" i="12" a="1"/>
  <c r="S15" i="12"/>
  <c r="N15" i="12" a="1"/>
  <c r="M15" i="12" a="1"/>
  <c r="L15" i="12" a="1"/>
  <c r="K15" i="12" a="1"/>
  <c r="J15" i="12" a="1"/>
  <c r="S14" i="12"/>
  <c r="N14" i="12" a="1"/>
  <c r="M14" i="12" a="1"/>
  <c r="L14" i="12" a="1"/>
  <c r="K14" i="12" a="1"/>
  <c r="J14" i="12" a="1"/>
  <c r="S13" i="12"/>
  <c r="N13" i="12" a="1"/>
  <c r="M13" i="12" a="1"/>
  <c r="L13" i="12" a="1"/>
  <c r="K13" i="12" a="1"/>
  <c r="J13" i="12" a="1"/>
  <c r="S12" i="12"/>
  <c r="N12" i="12" a="1"/>
  <c r="M12" i="12" a="1"/>
  <c r="L12" i="12" a="1"/>
  <c r="K12" i="12" a="1"/>
  <c r="J12" i="12" a="1"/>
  <c r="S11" i="12"/>
  <c r="N11" i="12" a="1"/>
  <c r="M11" i="12" a="1"/>
  <c r="L11" i="12" a="1"/>
  <c r="K11" i="12" a="1"/>
  <c r="J11" i="12" a="1"/>
  <c r="S10" i="12"/>
  <c r="N10" i="12" a="1"/>
  <c r="M10" i="12" a="1"/>
  <c r="L10" i="12" a="1"/>
  <c r="K10" i="12" a="1"/>
  <c r="J10" i="12" a="1"/>
  <c r="S9" i="12"/>
  <c r="N9" i="12" a="1"/>
  <c r="M9" i="12" a="1"/>
  <c r="L9" i="12" a="1"/>
  <c r="K9" i="12" a="1"/>
  <c r="J9" i="12" a="1"/>
  <c r="S8" i="12"/>
  <c r="N8" i="12" a="1"/>
  <c r="M8" i="12" a="1"/>
  <c r="L8" i="12" a="1"/>
  <c r="K8" i="12" a="1"/>
  <c r="J8" i="12" a="1"/>
  <c r="S7" i="12"/>
  <c r="N7" i="12" a="1"/>
  <c r="M7" i="12" a="1"/>
  <c r="L7" i="12" a="1"/>
  <c r="K7" i="12" a="1"/>
  <c r="J7" i="12" a="1"/>
  <c r="S6" i="12"/>
  <c r="N6" i="12" a="1"/>
  <c r="M6" i="12" a="1"/>
  <c r="L6" i="12" a="1"/>
  <c r="K6" i="12" a="1"/>
  <c r="J6" i="12" a="1"/>
  <c r="S5" i="12"/>
  <c r="N5" i="12" a="1"/>
  <c r="M5" i="12" a="1"/>
  <c r="L5" i="12" a="1"/>
  <c r="K5" i="12" a="1"/>
  <c r="J5" i="12" a="1"/>
  <c r="S4" i="12"/>
  <c r="N4" i="12" a="1"/>
  <c r="M4" i="12" a="1"/>
  <c r="L4" i="12" a="1"/>
  <c r="K4" i="12" a="1"/>
  <c r="J4" i="12" a="1"/>
  <c r="S3" i="12"/>
  <c r="N3" i="12" a="1"/>
  <c r="M3" i="12" a="1"/>
  <c r="L3" i="12" a="1"/>
  <c r="K3" i="12" a="1"/>
  <c r="J3" i="12" a="1"/>
  <c r="S2" i="12"/>
  <c r="N2" i="12" a="1"/>
  <c r="M2" i="12" a="1"/>
  <c r="L2" i="12" a="1"/>
  <c r="K2" i="12" a="1"/>
  <c r="J2" i="12" a="1"/>
  <c r="S30" i="4"/>
  <c r="J3" i="4" a="1"/>
  <c r="K3" i="4" a="1"/>
  <c r="L3" i="4" a="1"/>
  <c r="M3" i="4" a="1"/>
  <c r="N3" i="4" a="1"/>
  <c r="J4" i="4" a="1"/>
  <c r="K4" i="4" a="1"/>
  <c r="L4" i="4" a="1"/>
  <c r="M4" i="4" a="1"/>
  <c r="N4" i="4" a="1"/>
  <c r="J5" i="4" a="1"/>
  <c r="K5" i="4" a="1"/>
  <c r="L5" i="4" a="1"/>
  <c r="M5" i="4" a="1"/>
  <c r="N5" i="4" a="1"/>
  <c r="J6" i="4" a="1"/>
  <c r="K6" i="4" a="1"/>
  <c r="L6" i="4" a="1"/>
  <c r="M6" i="4" a="1"/>
  <c r="N6" i="4" a="1"/>
  <c r="J7" i="4" a="1"/>
  <c r="K7" i="4" a="1"/>
  <c r="L7" i="4" a="1"/>
  <c r="M7" i="4" a="1"/>
  <c r="N7" i="4" a="1"/>
  <c r="J8" i="4" a="1"/>
  <c r="K8" i="4" a="1"/>
  <c r="L8" i="4" a="1"/>
  <c r="M8" i="4" a="1"/>
  <c r="N8" i="4" a="1"/>
  <c r="J9" i="4" a="1"/>
  <c r="K9" i="4" a="1"/>
  <c r="L9" i="4" a="1"/>
  <c r="M9" i="4" a="1"/>
  <c r="N9" i="4" a="1"/>
  <c r="J10" i="4" a="1"/>
  <c r="K10" i="4" a="1"/>
  <c r="L10" i="4" a="1"/>
  <c r="M10" i="4" a="1"/>
  <c r="N10" i="4" a="1"/>
  <c r="J11" i="4" a="1"/>
  <c r="K11" i="4" a="1"/>
  <c r="L11" i="4" a="1"/>
  <c r="M11" i="4" a="1"/>
  <c r="N11" i="4" a="1"/>
  <c r="N2" i="4" a="1"/>
  <c r="M2" i="4" a="1"/>
  <c r="L2" i="4" a="1"/>
  <c r="K2" i="4" a="1"/>
  <c r="J2" i="4" a="1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31" i="4"/>
  <c r="S13" i="4"/>
  <c r="S14" i="4"/>
  <c r="S15" i="4"/>
  <c r="S16" i="4"/>
  <c r="S17" i="4"/>
  <c r="S18" i="4"/>
  <c r="S19" i="4"/>
  <c r="S21" i="4"/>
  <c r="S22" i="4"/>
  <c r="S23" i="4"/>
  <c r="S24" i="4"/>
  <c r="S25" i="4"/>
  <c r="S26" i="4"/>
  <c r="S27" i="4"/>
  <c r="S28" i="4"/>
  <c r="S29" i="4"/>
  <c r="S12" i="4"/>
  <c r="S4" i="4"/>
  <c r="B3" i="3"/>
  <c r="B4" i="3"/>
  <c r="B5" i="3"/>
  <c r="B6" i="3"/>
  <c r="B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<sst xmlns="http://schemas.openxmlformats.org/spreadsheetml/2006/main" count="1407" uniqueCount="164">
  <si>
    <t>GrowthType</t>
    <phoneticPr fontId="1" type="noConversion"/>
  </si>
  <si>
    <t>INTInc</t>
    <phoneticPr fontId="1" type="noConversion"/>
  </si>
  <si>
    <t>HPInc</t>
    <phoneticPr fontId="1" type="noConversion"/>
  </si>
  <si>
    <t>ATKInc</t>
    <phoneticPr fontId="1" type="noConversion"/>
  </si>
  <si>
    <t>DEFInc</t>
    <phoneticPr fontId="1" type="noConversion"/>
  </si>
  <si>
    <t>SPDInc</t>
    <phoneticPr fontId="1" type="noConversion"/>
  </si>
  <si>
    <t>Atype</t>
    <phoneticPr fontId="1" type="noConversion"/>
  </si>
  <si>
    <t>Dtype</t>
    <phoneticPr fontId="1" type="noConversion"/>
  </si>
  <si>
    <t>Itype</t>
    <phoneticPr fontId="1" type="noConversion"/>
  </si>
  <si>
    <t>Stype</t>
    <phoneticPr fontId="1" type="noConversion"/>
  </si>
  <si>
    <t>Balance</t>
    <phoneticPr fontId="1" type="noConversion"/>
  </si>
  <si>
    <t>코로몬</t>
    <phoneticPr fontId="1" type="noConversion"/>
  </si>
  <si>
    <t>퍼그몬</t>
    <phoneticPr fontId="1" type="noConversion"/>
  </si>
  <si>
    <t>토코몬</t>
    <phoneticPr fontId="1" type="noConversion"/>
  </si>
  <si>
    <t>어니몬</t>
    <phoneticPr fontId="1" type="noConversion"/>
  </si>
  <si>
    <t>모티몬</t>
    <phoneticPr fontId="1" type="noConversion"/>
  </si>
  <si>
    <t>뿔몬</t>
    <phoneticPr fontId="1" type="noConversion"/>
  </si>
  <si>
    <t>츠메몬</t>
    <phoneticPr fontId="1" type="noConversion"/>
  </si>
  <si>
    <t>시드몬</t>
    <phoneticPr fontId="1" type="noConversion"/>
  </si>
  <si>
    <t>둥실몬</t>
    <phoneticPr fontId="1" type="noConversion"/>
  </si>
  <si>
    <t>None</t>
    <phoneticPr fontId="1" type="noConversion"/>
  </si>
  <si>
    <t>유년기</t>
    <phoneticPr fontId="1" type="noConversion"/>
  </si>
  <si>
    <t>Baby</t>
    <phoneticPr fontId="1" type="noConversion"/>
  </si>
  <si>
    <t>ID</t>
    <phoneticPr fontId="1" type="noConversion"/>
  </si>
  <si>
    <t>DigimonName</t>
    <phoneticPr fontId="1" type="noConversion"/>
  </si>
  <si>
    <t>KorName</t>
    <phoneticPr fontId="1" type="noConversion"/>
  </si>
  <si>
    <t>Grade</t>
    <phoneticPr fontId="1" type="noConversion"/>
  </si>
  <si>
    <t>KorGrade</t>
    <phoneticPr fontId="1" type="noConversion"/>
  </si>
  <si>
    <t>Attr</t>
    <phoneticPr fontId="1" type="noConversion"/>
  </si>
  <si>
    <t>Type</t>
    <phoneticPr fontId="1" type="noConversion"/>
  </si>
  <si>
    <t>BaseHP</t>
    <phoneticPr fontId="1" type="noConversion"/>
  </si>
  <si>
    <t>BaseATK</t>
    <phoneticPr fontId="1" type="noConversion"/>
  </si>
  <si>
    <t>BaseDEF</t>
    <phoneticPr fontId="1" type="noConversion"/>
  </si>
  <si>
    <t>BaseINT</t>
    <phoneticPr fontId="1" type="noConversion"/>
  </si>
  <si>
    <t>BaseSPD</t>
    <phoneticPr fontId="1" type="noConversion"/>
  </si>
  <si>
    <t>브이몬</t>
    <phoneticPr fontId="1" type="noConversion"/>
  </si>
  <si>
    <t>돌몬</t>
    <phoneticPr fontId="1" type="noConversion"/>
  </si>
  <si>
    <t>길몬</t>
    <phoneticPr fontId="1" type="noConversion"/>
  </si>
  <si>
    <t>아구몬</t>
    <phoneticPr fontId="1" type="noConversion"/>
  </si>
  <si>
    <t>파피몬</t>
    <phoneticPr fontId="1" type="noConversion"/>
  </si>
  <si>
    <t>임프몬</t>
    <phoneticPr fontId="1" type="noConversion"/>
  </si>
  <si>
    <t>파닥몬</t>
    <phoneticPr fontId="1" type="noConversion"/>
  </si>
  <si>
    <t>레나몬</t>
    <phoneticPr fontId="1" type="noConversion"/>
  </si>
  <si>
    <t>피코데블몬</t>
    <phoneticPr fontId="1" type="noConversion"/>
  </si>
  <si>
    <t>플롯트몬</t>
    <phoneticPr fontId="1" type="noConversion"/>
  </si>
  <si>
    <t>테리어몬</t>
    <phoneticPr fontId="1" type="noConversion"/>
  </si>
  <si>
    <t>로프몬</t>
    <phoneticPr fontId="1" type="noConversion"/>
  </si>
  <si>
    <t>텐타몬</t>
    <phoneticPr fontId="1" type="noConversion"/>
  </si>
  <si>
    <t>팔몬</t>
    <phoneticPr fontId="1" type="noConversion"/>
  </si>
  <si>
    <t>피요몬</t>
    <phoneticPr fontId="1" type="noConversion"/>
  </si>
  <si>
    <t>쉬라몬</t>
    <phoneticPr fontId="1" type="noConversion"/>
  </si>
  <si>
    <t>가지몬</t>
    <phoneticPr fontId="1" type="noConversion"/>
  </si>
  <si>
    <t>케라몬</t>
    <phoneticPr fontId="1" type="noConversion"/>
  </si>
  <si>
    <t>루체몬</t>
    <phoneticPr fontId="1" type="noConversion"/>
  </si>
  <si>
    <t>성장기</t>
    <phoneticPr fontId="1" type="noConversion"/>
  </si>
  <si>
    <t>Rookie</t>
    <phoneticPr fontId="1" type="noConversion"/>
  </si>
  <si>
    <t>없음</t>
    <phoneticPr fontId="1" type="noConversion"/>
  </si>
  <si>
    <t>KorAttr</t>
    <phoneticPr fontId="1" type="noConversion"/>
  </si>
  <si>
    <t>Vaccine</t>
    <phoneticPr fontId="1" type="noConversion"/>
  </si>
  <si>
    <t>Data</t>
    <phoneticPr fontId="1" type="noConversion"/>
  </si>
  <si>
    <t>Unknown</t>
    <phoneticPr fontId="1" type="noConversion"/>
  </si>
  <si>
    <t>Virus</t>
    <phoneticPr fontId="1" type="noConversion"/>
  </si>
  <si>
    <t>Free</t>
    <phoneticPr fontId="1" type="noConversion"/>
  </si>
  <si>
    <t>백신</t>
    <phoneticPr fontId="1" type="noConversion"/>
  </si>
  <si>
    <t>데이터</t>
    <phoneticPr fontId="1" type="noConversion"/>
  </si>
  <si>
    <t>불명</t>
    <phoneticPr fontId="1" type="noConversion"/>
  </si>
  <si>
    <t>바이러스</t>
    <phoneticPr fontId="1" type="noConversion"/>
  </si>
  <si>
    <t>프리</t>
    <phoneticPr fontId="1" type="noConversion"/>
  </si>
  <si>
    <t>KorType</t>
    <phoneticPr fontId="1" type="noConversion"/>
  </si>
  <si>
    <t>투지</t>
    <phoneticPr fontId="1" type="noConversion"/>
  </si>
  <si>
    <t>인내</t>
    <phoneticPr fontId="1" type="noConversion"/>
  </si>
  <si>
    <t>통찰</t>
    <phoneticPr fontId="1" type="noConversion"/>
  </si>
  <si>
    <t>민첩</t>
    <phoneticPr fontId="1" type="noConversion"/>
  </si>
  <si>
    <t>Fight</t>
    <phoneticPr fontId="1" type="noConversion"/>
  </si>
  <si>
    <t>Endurance</t>
    <phoneticPr fontId="1" type="noConversion"/>
  </si>
  <si>
    <t>Insight</t>
    <phoneticPr fontId="1" type="noConversion"/>
  </si>
  <si>
    <t>Agility</t>
    <phoneticPr fontId="1" type="noConversion"/>
  </si>
  <si>
    <t>그라우몬</t>
    <phoneticPr fontId="1" type="noConversion"/>
  </si>
  <si>
    <t>그레이몬</t>
    <phoneticPr fontId="1" type="noConversion"/>
  </si>
  <si>
    <t>가루몬</t>
    <phoneticPr fontId="1" type="noConversion"/>
  </si>
  <si>
    <t>엔젤몬</t>
    <phoneticPr fontId="1" type="noConversion"/>
  </si>
  <si>
    <t>데빌몬</t>
    <phoneticPr fontId="1" type="noConversion"/>
  </si>
  <si>
    <t>엑스브이몬</t>
    <phoneticPr fontId="1" type="noConversion"/>
  </si>
  <si>
    <t>매그너몬</t>
    <phoneticPr fontId="1" type="noConversion"/>
  </si>
  <si>
    <t>구미호몬</t>
    <phoneticPr fontId="1" type="noConversion"/>
  </si>
  <si>
    <t>원뿔몬</t>
    <phoneticPr fontId="1" type="noConversion"/>
  </si>
  <si>
    <t>크리사리몬</t>
    <phoneticPr fontId="1" type="noConversion"/>
  </si>
  <si>
    <t>우가몬</t>
    <phoneticPr fontId="1" type="noConversion"/>
  </si>
  <si>
    <t>레어몬</t>
    <phoneticPr fontId="1" type="noConversion"/>
  </si>
  <si>
    <t>니드몬</t>
    <phoneticPr fontId="1" type="noConversion"/>
  </si>
  <si>
    <t>티라노몬</t>
    <phoneticPr fontId="1" type="noConversion"/>
  </si>
  <si>
    <t>성숙기</t>
    <phoneticPr fontId="1" type="noConversion"/>
  </si>
  <si>
    <t>Champion</t>
    <phoneticPr fontId="1" type="noConversion"/>
  </si>
  <si>
    <t>가트몬</t>
    <phoneticPr fontId="1" type="noConversion"/>
  </si>
  <si>
    <t>Koromon</t>
    <phoneticPr fontId="1" type="noConversion"/>
  </si>
  <si>
    <t>Tsunomon</t>
    <phoneticPr fontId="1" type="noConversion"/>
  </si>
  <si>
    <t>Tokomon</t>
  </si>
  <si>
    <t>Nyaromon</t>
  </si>
  <si>
    <t>Motimon</t>
  </si>
  <si>
    <t>Yokomon</t>
  </si>
  <si>
    <t>Bukamon</t>
  </si>
  <si>
    <t>Pagumon</t>
  </si>
  <si>
    <t>Tsumemon</t>
  </si>
  <si>
    <t>Tanemon</t>
  </si>
  <si>
    <t>Agumon</t>
  </si>
  <si>
    <t>Biyomon</t>
  </si>
  <si>
    <t>DemiDevimon</t>
  </si>
  <si>
    <t>Dorumon</t>
  </si>
  <si>
    <t>Gabumon</t>
  </si>
  <si>
    <t>Gazimon</t>
  </si>
  <si>
    <t>Gomamon</t>
  </si>
  <si>
    <t>Guilmon</t>
  </si>
  <si>
    <t>Impmon</t>
  </si>
  <si>
    <t>Keramon</t>
  </si>
  <si>
    <t>Lopmon</t>
  </si>
  <si>
    <t>Lucemon</t>
  </si>
  <si>
    <t>Palmon</t>
  </si>
  <si>
    <t>Patamon</t>
  </si>
  <si>
    <t>Renamon</t>
  </si>
  <si>
    <t>Salamon</t>
  </si>
  <si>
    <t>Tentomon</t>
  </si>
  <si>
    <t>Terriermon</t>
  </si>
  <si>
    <t>Veemon</t>
  </si>
  <si>
    <t>Greymon</t>
  </si>
  <si>
    <t>Angemon</t>
  </si>
  <si>
    <t>Chrysalimon</t>
  </si>
  <si>
    <t>Devimon</t>
  </si>
  <si>
    <t>ExVeemon</t>
  </si>
  <si>
    <t>Garurumon</t>
  </si>
  <si>
    <t>Gotomon</t>
  </si>
  <si>
    <t>Growlmon</t>
  </si>
  <si>
    <t>Ikkakumon</t>
  </si>
  <si>
    <t>Kyubimon</t>
  </si>
  <si>
    <t>Magnamon</t>
  </si>
  <si>
    <t>Ogremon</t>
  </si>
  <si>
    <t>Raremon</t>
  </si>
  <si>
    <t>Togemon</t>
  </si>
  <si>
    <t>Tyrannomon</t>
  </si>
  <si>
    <t>EXP</t>
    <phoneticPr fontId="1" type="noConversion"/>
  </si>
  <si>
    <t>Level</t>
    <phoneticPr fontId="1" type="noConversion"/>
  </si>
  <si>
    <t>버드라몬</t>
    <phoneticPr fontId="1" type="noConversion"/>
  </si>
  <si>
    <t>캅테리몬</t>
    <phoneticPr fontId="1" type="noConversion"/>
  </si>
  <si>
    <t>Evo</t>
    <phoneticPr fontId="1" type="noConversion"/>
  </si>
  <si>
    <t>Togemon</t>
    <phoneticPr fontId="1" type="noConversion"/>
  </si>
  <si>
    <t>Tanemon</t>
    <phoneticPr fontId="1" type="noConversion"/>
  </si>
  <si>
    <t>야옹몬</t>
    <phoneticPr fontId="1" type="noConversion"/>
  </si>
  <si>
    <t>KorGrowthType</t>
    <phoneticPr fontId="1" type="noConversion"/>
  </si>
  <si>
    <t>균형</t>
    <phoneticPr fontId="1" type="noConversion"/>
  </si>
  <si>
    <t>공격형</t>
    <phoneticPr fontId="1" type="noConversion"/>
  </si>
  <si>
    <t>방어형</t>
    <phoneticPr fontId="1" type="noConversion"/>
  </si>
  <si>
    <t>지능형</t>
    <phoneticPr fontId="1" type="noConversion"/>
  </si>
  <si>
    <t>속도형</t>
    <phoneticPr fontId="1" type="noConversion"/>
  </si>
  <si>
    <t>Prev</t>
    <phoneticPr fontId="1" type="noConversion"/>
  </si>
  <si>
    <t>Greymon</t>
    <phoneticPr fontId="1" type="noConversion"/>
  </si>
  <si>
    <t>Angemon</t>
    <phoneticPr fontId="1" type="noConversion"/>
  </si>
  <si>
    <t>Chrysalimon</t>
    <phoneticPr fontId="1" type="noConversion"/>
  </si>
  <si>
    <t>Ogremon</t>
    <phoneticPr fontId="1" type="noConversion"/>
  </si>
  <si>
    <t>Devimon</t>
    <phoneticPr fontId="1" type="noConversion"/>
  </si>
  <si>
    <t>ExVeemon</t>
    <phoneticPr fontId="1" type="noConversion"/>
  </si>
  <si>
    <t>Growlmon</t>
    <phoneticPr fontId="1" type="noConversion"/>
  </si>
  <si>
    <t>Kyubimon</t>
    <phoneticPr fontId="1" type="noConversion"/>
  </si>
  <si>
    <t>Raremon</t>
    <phoneticPr fontId="1" type="noConversion"/>
  </si>
  <si>
    <t>Tyrannomon</t>
    <phoneticPr fontId="1" type="noConversion"/>
  </si>
  <si>
    <t>Gotomon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</si>
</sst>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6B5FD-6714-48F7-A243-90EB8A61A1B2}">
  <dimension ref="A1:R45"/>
  <sheetViews>
    <sheetView workbookViewId="0">
      <selection activeCell="A2" sqref="A2"/>
    </sheetView>
  </sheetViews>
  <sheetFormatPr defaultRowHeight="17.600000000000001" x14ac:dyDescent="0.55000000000000004"/>
  <cols>
    <col min="15" max="15" width="15.640625" customWidth="1"/>
    <col min="16" max="16" width="15.78515625" customWidth="1"/>
  </cols>
  <sheetData>
    <row r="1" spans="1:18" x14ac:dyDescent="0.55000000000000004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57</v>
      </c>
      <c r="H1" t="s">
        <v>29</v>
      </c>
      <c r="I1" t="s">
        <v>68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0</v>
      </c>
      <c r="P1" t="s">
        <v>146</v>
      </c>
      <c r="Q1" t="s">
        <v>142</v>
      </c>
      <c r="R1" t="s">
        <v>152</v>
      </c>
    </row>
    <row r="2" spans="1:18" x14ac:dyDescent="0.55000000000000004">
      <c r="A2" s="1">
        <v>1001</v>
      </c>
      <c r="B2" s="1" t="s">
        <v>94</v>
      </c>
      <c r="C2" s="2" t="s">
        <v>11</v>
      </c>
      <c r="D2" s="1" t="s">
        <v>22</v>
      </c>
      <c r="E2" s="2" t="s">
        <v>21</v>
      </c>
      <c r="F2" s="1" t="s">
        <v>20</v>
      </c>
      <c r="G2" s="2" t="s">
        <v>56</v>
      </c>
      <c r="H2" s="2" t="s">
        <v>20</v>
      </c>
      <c r="I2" s="2" t="s">
        <v>56</v>
      </c>
      <c r="J2" s="1">
        <v>150</v>
      </c>
      <c r="K2" s="1">
        <v>30</v>
      </c>
      <c r="L2" s="1">
        <v>30</v>
      </c>
      <c r="M2" s="1">
        <v>20</v>
      </c>
      <c r="N2" s="1">
        <v>20</v>
      </c>
      <c r="O2" s="1" t="s">
        <v>10</v>
      </c>
      <c r="P2" s="1" t="s">
        <v>147</v>
      </c>
      <c r="Q2" s="1">
        <v>2001</v>
      </c>
      <c r="R2" s="1">
        <v>-1</v>
      </c>
    </row>
    <row r="3" spans="1:18" x14ac:dyDescent="0.55000000000000004">
      <c r="A3" s="1">
        <v>1002</v>
      </c>
      <c r="B3" s="1" t="s">
        <v>95</v>
      </c>
      <c r="C3" s="2" t="s">
        <v>16</v>
      </c>
      <c r="D3" s="1" t="s">
        <v>22</v>
      </c>
      <c r="E3" s="2" t="s">
        <v>21</v>
      </c>
      <c r="F3" s="1" t="s">
        <v>20</v>
      </c>
      <c r="G3" s="2" t="s">
        <v>56</v>
      </c>
      <c r="H3" s="2" t="s">
        <v>20</v>
      </c>
      <c r="I3" s="2" t="s">
        <v>56</v>
      </c>
      <c r="J3" s="1">
        <v>150</v>
      </c>
      <c r="K3" s="1">
        <v>30</v>
      </c>
      <c r="L3" s="1">
        <v>30</v>
      </c>
      <c r="M3" s="1">
        <v>20</v>
      </c>
      <c r="N3" s="1">
        <v>20</v>
      </c>
      <c r="O3" s="1" t="s">
        <v>10</v>
      </c>
      <c r="P3" s="1" t="s">
        <v>147</v>
      </c>
      <c r="Q3" s="1">
        <v>2002</v>
      </c>
      <c r="R3" s="1">
        <v>-1</v>
      </c>
    </row>
    <row r="4" spans="1:18" x14ac:dyDescent="0.55000000000000004">
      <c r="A4" s="1">
        <v>1003</v>
      </c>
      <c r="B4" s="1" t="s">
        <v>96</v>
      </c>
      <c r="C4" s="2" t="s">
        <v>13</v>
      </c>
      <c r="D4" s="1" t="s">
        <v>22</v>
      </c>
      <c r="E4" s="2" t="s">
        <v>21</v>
      </c>
      <c r="F4" s="1" t="s">
        <v>20</v>
      </c>
      <c r="G4" s="2" t="s">
        <v>56</v>
      </c>
      <c r="H4" s="2" t="s">
        <v>20</v>
      </c>
      <c r="I4" s="2" t="s">
        <v>56</v>
      </c>
      <c r="J4" s="1">
        <v>150</v>
      </c>
      <c r="K4" s="1">
        <v>30</v>
      </c>
      <c r="L4" s="1">
        <v>30</v>
      </c>
      <c r="M4" s="1">
        <v>20</v>
      </c>
      <c r="N4" s="1">
        <v>20</v>
      </c>
      <c r="O4" s="1" t="s">
        <v>10</v>
      </c>
      <c r="P4" s="1" t="s">
        <v>147</v>
      </c>
      <c r="Q4" s="1">
        <v>2003</v>
      </c>
      <c r="R4" s="1">
        <v>-1</v>
      </c>
    </row>
    <row r="5" spans="1:18" x14ac:dyDescent="0.55000000000000004">
      <c r="A5" s="1">
        <v>1004</v>
      </c>
      <c r="B5" s="1" t="s">
        <v>97</v>
      </c>
      <c r="C5" s="2" t="s">
        <v>145</v>
      </c>
      <c r="D5" s="1" t="s">
        <v>22</v>
      </c>
      <c r="E5" s="2" t="s">
        <v>21</v>
      </c>
      <c r="F5" s="1" t="s">
        <v>20</v>
      </c>
      <c r="G5" s="2" t="s">
        <v>56</v>
      </c>
      <c r="H5" s="2" t="s">
        <v>20</v>
      </c>
      <c r="I5" s="2" t="s">
        <v>56</v>
      </c>
      <c r="J5" s="1">
        <v>150</v>
      </c>
      <c r="K5" s="1">
        <v>30</v>
      </c>
      <c r="L5" s="1">
        <v>30</v>
      </c>
      <c r="M5" s="1">
        <v>20</v>
      </c>
      <c r="N5" s="1">
        <v>20</v>
      </c>
      <c r="O5" s="1" t="s">
        <v>10</v>
      </c>
      <c r="P5" s="1" t="s">
        <v>147</v>
      </c>
      <c r="Q5" s="1">
        <v>2004</v>
      </c>
      <c r="R5" s="1">
        <v>-1</v>
      </c>
    </row>
    <row r="6" spans="1:18" x14ac:dyDescent="0.55000000000000004">
      <c r="A6" s="1">
        <v>1005</v>
      </c>
      <c r="B6" s="1" t="s">
        <v>99</v>
      </c>
      <c r="C6" s="2" t="s">
        <v>14</v>
      </c>
      <c r="D6" s="1" t="s">
        <v>22</v>
      </c>
      <c r="E6" s="2" t="s">
        <v>21</v>
      </c>
      <c r="F6" s="1" t="s">
        <v>20</v>
      </c>
      <c r="G6" s="2" t="s">
        <v>56</v>
      </c>
      <c r="H6" s="2" t="s">
        <v>20</v>
      </c>
      <c r="I6" s="2" t="s">
        <v>56</v>
      </c>
      <c r="J6" s="1">
        <v>150</v>
      </c>
      <c r="K6" s="1">
        <v>30</v>
      </c>
      <c r="L6" s="1">
        <v>30</v>
      </c>
      <c r="M6" s="1">
        <v>20</v>
      </c>
      <c r="N6" s="1">
        <v>20</v>
      </c>
      <c r="O6" s="1" t="s">
        <v>10</v>
      </c>
      <c r="P6" s="1" t="s">
        <v>147</v>
      </c>
      <c r="Q6" s="1">
        <v>2005</v>
      </c>
      <c r="R6" s="1">
        <v>-1</v>
      </c>
    </row>
    <row r="7" spans="1:18" x14ac:dyDescent="0.55000000000000004">
      <c r="A7" s="1">
        <v>1006</v>
      </c>
      <c r="B7" s="1" t="s">
        <v>98</v>
      </c>
      <c r="C7" s="2" t="s">
        <v>15</v>
      </c>
      <c r="D7" s="1" t="s">
        <v>22</v>
      </c>
      <c r="E7" s="2" t="s">
        <v>21</v>
      </c>
      <c r="F7" s="1" t="s">
        <v>20</v>
      </c>
      <c r="G7" s="2" t="s">
        <v>56</v>
      </c>
      <c r="H7" s="2" t="s">
        <v>20</v>
      </c>
      <c r="I7" s="2" t="s">
        <v>56</v>
      </c>
      <c r="J7" s="1">
        <v>150</v>
      </c>
      <c r="K7" s="1">
        <v>30</v>
      </c>
      <c r="L7" s="1">
        <v>30</v>
      </c>
      <c r="M7" s="1">
        <v>20</v>
      </c>
      <c r="N7" s="1">
        <v>20</v>
      </c>
      <c r="O7" s="1" t="s">
        <v>10</v>
      </c>
      <c r="P7" s="1" t="s">
        <v>147</v>
      </c>
      <c r="Q7" s="1">
        <v>2006</v>
      </c>
      <c r="R7" s="1">
        <v>-1</v>
      </c>
    </row>
    <row r="8" spans="1:18" x14ac:dyDescent="0.55000000000000004">
      <c r="A8" s="1">
        <v>1007</v>
      </c>
      <c r="B8" s="1" t="s">
        <v>103</v>
      </c>
      <c r="C8" s="2" t="s">
        <v>18</v>
      </c>
      <c r="D8" s="1" t="s">
        <v>22</v>
      </c>
      <c r="E8" s="2" t="s">
        <v>21</v>
      </c>
      <c r="F8" s="1" t="s">
        <v>20</v>
      </c>
      <c r="G8" s="2" t="s">
        <v>56</v>
      </c>
      <c r="H8" s="2" t="s">
        <v>20</v>
      </c>
      <c r="I8" s="2" t="s">
        <v>56</v>
      </c>
      <c r="J8" s="1">
        <v>150</v>
      </c>
      <c r="K8" s="1">
        <v>30</v>
      </c>
      <c r="L8" s="1">
        <v>30</v>
      </c>
      <c r="M8" s="1">
        <v>20</v>
      </c>
      <c r="N8" s="1">
        <v>20</v>
      </c>
      <c r="O8" s="1" t="s">
        <v>10</v>
      </c>
      <c r="P8" s="1" t="s">
        <v>147</v>
      </c>
      <c r="Q8" s="1">
        <v>2007</v>
      </c>
      <c r="R8" s="1">
        <v>-1</v>
      </c>
    </row>
    <row r="9" spans="1:18" x14ac:dyDescent="0.55000000000000004">
      <c r="A9" s="1">
        <v>1008</v>
      </c>
      <c r="B9" s="1" t="s">
        <v>100</v>
      </c>
      <c r="C9" s="2" t="s">
        <v>19</v>
      </c>
      <c r="D9" s="1" t="s">
        <v>22</v>
      </c>
      <c r="E9" s="2" t="s">
        <v>21</v>
      </c>
      <c r="F9" s="1" t="s">
        <v>20</v>
      </c>
      <c r="G9" s="2" t="s">
        <v>56</v>
      </c>
      <c r="H9" s="2" t="s">
        <v>20</v>
      </c>
      <c r="I9" s="2" t="s">
        <v>56</v>
      </c>
      <c r="J9" s="1">
        <v>150</v>
      </c>
      <c r="K9" s="1">
        <v>30</v>
      </c>
      <c r="L9" s="1">
        <v>30</v>
      </c>
      <c r="M9" s="1">
        <v>20</v>
      </c>
      <c r="N9" s="1">
        <v>20</v>
      </c>
      <c r="O9" s="1" t="s">
        <v>10</v>
      </c>
      <c r="P9" s="1" t="s">
        <v>147</v>
      </c>
      <c r="Q9" s="1">
        <v>2008</v>
      </c>
      <c r="R9" s="1">
        <v>-1</v>
      </c>
    </row>
    <row r="10" spans="1:18" x14ac:dyDescent="0.55000000000000004">
      <c r="A10" s="1">
        <v>1009</v>
      </c>
      <c r="B10" s="1" t="s">
        <v>102</v>
      </c>
      <c r="C10" s="2" t="s">
        <v>17</v>
      </c>
      <c r="D10" s="1" t="s">
        <v>22</v>
      </c>
      <c r="E10" s="2" t="s">
        <v>21</v>
      </c>
      <c r="F10" s="1" t="s">
        <v>20</v>
      </c>
      <c r="G10" s="2" t="s">
        <v>56</v>
      </c>
      <c r="H10" s="2" t="s">
        <v>20</v>
      </c>
      <c r="I10" s="2" t="s">
        <v>56</v>
      </c>
      <c r="J10" s="1">
        <v>150</v>
      </c>
      <c r="K10" s="1">
        <v>30</v>
      </c>
      <c r="L10" s="1">
        <v>30</v>
      </c>
      <c r="M10" s="1">
        <v>20</v>
      </c>
      <c r="N10" s="1">
        <v>20</v>
      </c>
      <c r="O10" s="1" t="s">
        <v>10</v>
      </c>
      <c r="P10" s="1" t="s">
        <v>147</v>
      </c>
      <c r="Q10" s="1">
        <v>2009</v>
      </c>
      <c r="R10" s="1">
        <v>-1</v>
      </c>
    </row>
    <row r="11" spans="1:18" x14ac:dyDescent="0.55000000000000004">
      <c r="A11" s="1">
        <v>1010</v>
      </c>
      <c r="B11" s="1" t="s">
        <v>101</v>
      </c>
      <c r="C11" s="2" t="s">
        <v>12</v>
      </c>
      <c r="D11" s="1" t="s">
        <v>22</v>
      </c>
      <c r="E11" s="2" t="s">
        <v>21</v>
      </c>
      <c r="F11" s="1" t="s">
        <v>20</v>
      </c>
      <c r="G11" s="2" t="s">
        <v>56</v>
      </c>
      <c r="H11" s="2" t="s">
        <v>20</v>
      </c>
      <c r="I11" s="2" t="s">
        <v>56</v>
      </c>
      <c r="J11" s="1">
        <v>150</v>
      </c>
      <c r="K11" s="1">
        <v>30</v>
      </c>
      <c r="L11" s="1">
        <v>30</v>
      </c>
      <c r="M11" s="1">
        <v>20</v>
      </c>
      <c r="N11" s="1">
        <v>20</v>
      </c>
      <c r="O11" s="1" t="s">
        <v>10</v>
      </c>
      <c r="P11" s="1" t="s">
        <v>147</v>
      </c>
      <c r="Q11" s="1">
        <v>2010</v>
      </c>
      <c r="R11" s="1">
        <v>-1</v>
      </c>
    </row>
    <row r="12" spans="1:18" x14ac:dyDescent="0.55000000000000004">
      <c r="A12" s="3">
        <v>2001</v>
      </c>
      <c r="B12" s="3" t="s">
        <v>104</v>
      </c>
      <c r="C12" s="4" t="s">
        <v>38</v>
      </c>
      <c r="D12" s="3" t="s">
        <v>55</v>
      </c>
      <c r="E12" s="4" t="s">
        <v>54</v>
      </c>
      <c r="F12" s="3" t="s">
        <v>58</v>
      </c>
      <c r="G12" s="4" t="s">
        <v>63</v>
      </c>
      <c r="H12" s="3" t="s">
        <v>73</v>
      </c>
      <c r="I12" s="4" t="s">
        <v>69</v>
      </c>
      <c r="J12" s="3">
        <v>300</v>
      </c>
      <c r="K12" s="3">
        <v>82</v>
      </c>
      <c r="L12" s="3">
        <v>52</v>
      </c>
      <c r="M12" s="3">
        <v>26</v>
      </c>
      <c r="N12" s="3">
        <v>40</v>
      </c>
      <c r="O12" s="3" t="s">
        <v>6</v>
      </c>
      <c r="P12" s="3" t="s">
        <v>148</v>
      </c>
      <c r="Q12" s="3">
        <v>3001</v>
      </c>
      <c r="R12" s="3">
        <v>1001</v>
      </c>
    </row>
    <row r="13" spans="1:18" x14ac:dyDescent="0.55000000000000004">
      <c r="A13" s="3">
        <v>2002</v>
      </c>
      <c r="B13" s="3" t="s">
        <v>108</v>
      </c>
      <c r="C13" s="4" t="s">
        <v>39</v>
      </c>
      <c r="D13" s="3" t="s">
        <v>55</v>
      </c>
      <c r="E13" s="4" t="s">
        <v>54</v>
      </c>
      <c r="F13" s="3" t="s">
        <v>59</v>
      </c>
      <c r="G13" s="4" t="s">
        <v>64</v>
      </c>
      <c r="H13" s="3" t="s">
        <v>74</v>
      </c>
      <c r="I13" s="4" t="s">
        <v>70</v>
      </c>
      <c r="J13" s="3">
        <v>330</v>
      </c>
      <c r="K13" s="3">
        <v>54</v>
      </c>
      <c r="L13" s="3">
        <v>76</v>
      </c>
      <c r="M13" s="3">
        <v>32</v>
      </c>
      <c r="N13" s="3">
        <v>38</v>
      </c>
      <c r="O13" s="3" t="s">
        <v>7</v>
      </c>
      <c r="P13" s="3" t="s">
        <v>149</v>
      </c>
      <c r="Q13" s="3">
        <v>3002</v>
      </c>
      <c r="R13" s="3">
        <v>1002</v>
      </c>
    </row>
    <row r="14" spans="1:18" x14ac:dyDescent="0.55000000000000004">
      <c r="A14" s="3">
        <v>2003</v>
      </c>
      <c r="B14" s="3" t="s">
        <v>117</v>
      </c>
      <c r="C14" s="4" t="s">
        <v>41</v>
      </c>
      <c r="D14" s="3" t="s">
        <v>55</v>
      </c>
      <c r="E14" s="4" t="s">
        <v>54</v>
      </c>
      <c r="F14" s="3" t="s">
        <v>59</v>
      </c>
      <c r="G14" s="4" t="s">
        <v>64</v>
      </c>
      <c r="H14" s="3" t="s">
        <v>75</v>
      </c>
      <c r="I14" s="4" t="s">
        <v>71</v>
      </c>
      <c r="J14" s="3">
        <v>250</v>
      </c>
      <c r="K14" s="3">
        <v>50</v>
      </c>
      <c r="L14" s="3">
        <v>52</v>
      </c>
      <c r="M14" s="3">
        <v>58</v>
      </c>
      <c r="N14" s="3">
        <v>40</v>
      </c>
      <c r="O14" s="3" t="s">
        <v>8</v>
      </c>
      <c r="P14" s="3" t="s">
        <v>150</v>
      </c>
      <c r="Q14" s="3">
        <v>3003</v>
      </c>
      <c r="R14" s="3">
        <v>1003</v>
      </c>
    </row>
    <row r="15" spans="1:18" x14ac:dyDescent="0.55000000000000004">
      <c r="A15" s="3">
        <v>2004</v>
      </c>
      <c r="B15" s="3" t="s">
        <v>119</v>
      </c>
      <c r="C15" s="4" t="s">
        <v>44</v>
      </c>
      <c r="D15" s="3" t="s">
        <v>55</v>
      </c>
      <c r="E15" s="4" t="s">
        <v>54</v>
      </c>
      <c r="F15" s="3" t="s">
        <v>58</v>
      </c>
      <c r="G15" s="4" t="s">
        <v>63</v>
      </c>
      <c r="H15" s="3" t="s">
        <v>75</v>
      </c>
      <c r="I15" s="4" t="s">
        <v>71</v>
      </c>
      <c r="J15" s="3">
        <v>250</v>
      </c>
      <c r="K15" s="3">
        <v>52</v>
      </c>
      <c r="L15" s="3">
        <v>50</v>
      </c>
      <c r="M15" s="3">
        <v>58</v>
      </c>
      <c r="N15" s="3">
        <v>40</v>
      </c>
      <c r="O15" s="3" t="s">
        <v>8</v>
      </c>
      <c r="P15" s="3" t="s">
        <v>150</v>
      </c>
      <c r="Q15" s="3">
        <v>3004</v>
      </c>
      <c r="R15" s="3">
        <v>1004</v>
      </c>
    </row>
    <row r="16" spans="1:18" x14ac:dyDescent="0.55000000000000004">
      <c r="A16" s="3">
        <v>2005</v>
      </c>
      <c r="B16" s="3" t="s">
        <v>105</v>
      </c>
      <c r="C16" s="4" t="s">
        <v>49</v>
      </c>
      <c r="D16" s="3" t="s">
        <v>55</v>
      </c>
      <c r="E16" s="4" t="s">
        <v>54</v>
      </c>
      <c r="F16" s="3" t="s">
        <v>58</v>
      </c>
      <c r="G16" s="4" t="s">
        <v>63</v>
      </c>
      <c r="H16" s="3" t="s">
        <v>76</v>
      </c>
      <c r="I16" s="4" t="s">
        <v>72</v>
      </c>
      <c r="J16" s="3">
        <v>270</v>
      </c>
      <c r="K16" s="3">
        <v>56</v>
      </c>
      <c r="L16" s="3">
        <v>48</v>
      </c>
      <c r="M16" s="3">
        <v>36</v>
      </c>
      <c r="N16" s="3">
        <v>60</v>
      </c>
      <c r="O16" s="3" t="s">
        <v>9</v>
      </c>
      <c r="P16" s="3" t="s">
        <v>151</v>
      </c>
      <c r="Q16" s="3">
        <v>-1</v>
      </c>
      <c r="R16" s="3">
        <v>1005</v>
      </c>
    </row>
    <row r="17" spans="1:18" x14ac:dyDescent="0.55000000000000004">
      <c r="A17" s="3">
        <v>2006</v>
      </c>
      <c r="B17" s="3" t="s">
        <v>120</v>
      </c>
      <c r="C17" s="4" t="s">
        <v>47</v>
      </c>
      <c r="D17" s="3" t="s">
        <v>55</v>
      </c>
      <c r="E17" s="4" t="s">
        <v>54</v>
      </c>
      <c r="F17" s="3" t="s">
        <v>58</v>
      </c>
      <c r="G17" s="4" t="s">
        <v>63</v>
      </c>
      <c r="H17" s="3" t="s">
        <v>76</v>
      </c>
      <c r="I17" s="4" t="s">
        <v>72</v>
      </c>
      <c r="J17" s="3">
        <v>270</v>
      </c>
      <c r="K17" s="3">
        <v>48</v>
      </c>
      <c r="L17" s="3">
        <v>56</v>
      </c>
      <c r="M17" s="3">
        <v>36</v>
      </c>
      <c r="N17" s="3">
        <v>60</v>
      </c>
      <c r="O17" s="3" t="s">
        <v>9</v>
      </c>
      <c r="P17" s="3" t="s">
        <v>151</v>
      </c>
      <c r="Q17" s="3">
        <v>-1</v>
      </c>
      <c r="R17" s="3">
        <v>1006</v>
      </c>
    </row>
    <row r="18" spans="1:18" x14ac:dyDescent="0.55000000000000004">
      <c r="A18" s="3">
        <v>2007</v>
      </c>
      <c r="B18" s="3" t="s">
        <v>116</v>
      </c>
      <c r="C18" s="4" t="s">
        <v>48</v>
      </c>
      <c r="D18" s="3" t="s">
        <v>55</v>
      </c>
      <c r="E18" s="4" t="s">
        <v>54</v>
      </c>
      <c r="F18" s="3" t="s">
        <v>59</v>
      </c>
      <c r="G18" s="4" t="s">
        <v>64</v>
      </c>
      <c r="H18" s="3" t="s">
        <v>74</v>
      </c>
      <c r="I18" s="4" t="s">
        <v>70</v>
      </c>
      <c r="J18" s="3">
        <v>330</v>
      </c>
      <c r="K18" s="3">
        <v>52</v>
      </c>
      <c r="L18" s="3">
        <v>80</v>
      </c>
      <c r="M18" s="3">
        <v>30</v>
      </c>
      <c r="N18" s="3">
        <v>38</v>
      </c>
      <c r="O18" s="3" t="s">
        <v>7</v>
      </c>
      <c r="P18" s="3" t="s">
        <v>149</v>
      </c>
      <c r="Q18" s="3">
        <v>3007</v>
      </c>
      <c r="R18" s="3">
        <v>1007</v>
      </c>
    </row>
    <row r="19" spans="1:18" x14ac:dyDescent="0.55000000000000004">
      <c r="A19" s="3">
        <v>2008</v>
      </c>
      <c r="B19" s="3" t="s">
        <v>110</v>
      </c>
      <c r="C19" s="4" t="s">
        <v>50</v>
      </c>
      <c r="D19" s="3" t="s">
        <v>55</v>
      </c>
      <c r="E19" s="4" t="s">
        <v>54</v>
      </c>
      <c r="F19" s="3" t="s">
        <v>58</v>
      </c>
      <c r="G19" s="4" t="s">
        <v>63</v>
      </c>
      <c r="H19" s="3" t="s">
        <v>74</v>
      </c>
      <c r="I19" s="4" t="s">
        <v>70</v>
      </c>
      <c r="J19" s="3">
        <v>330</v>
      </c>
      <c r="K19" s="3">
        <v>52</v>
      </c>
      <c r="L19" s="3">
        <v>74</v>
      </c>
      <c r="M19" s="3">
        <v>32</v>
      </c>
      <c r="N19" s="3">
        <v>42</v>
      </c>
      <c r="O19" s="3" t="s">
        <v>7</v>
      </c>
      <c r="P19" s="3" t="s">
        <v>149</v>
      </c>
      <c r="Q19" s="3">
        <v>3008</v>
      </c>
      <c r="R19" s="3">
        <v>1008</v>
      </c>
    </row>
    <row r="20" spans="1:18" x14ac:dyDescent="0.55000000000000004">
      <c r="A20" s="3">
        <v>2009</v>
      </c>
      <c r="B20" s="3" t="s">
        <v>113</v>
      </c>
      <c r="C20" s="4" t="s">
        <v>52</v>
      </c>
      <c r="D20" s="3" t="s">
        <v>55</v>
      </c>
      <c r="E20" s="4" t="s">
        <v>54</v>
      </c>
      <c r="F20" s="3" t="s">
        <v>60</v>
      </c>
      <c r="G20" s="4" t="s">
        <v>65</v>
      </c>
      <c r="H20" s="3" t="s">
        <v>75</v>
      </c>
      <c r="I20" s="4" t="s">
        <v>71</v>
      </c>
      <c r="J20" s="3">
        <v>330</v>
      </c>
      <c r="K20" s="3">
        <v>60</v>
      </c>
      <c r="L20" s="3">
        <v>60</v>
      </c>
      <c r="M20" s="3">
        <v>50</v>
      </c>
      <c r="N20" s="3">
        <v>35</v>
      </c>
      <c r="O20" s="3" t="s">
        <v>8</v>
      </c>
      <c r="P20" s="3" t="s">
        <v>150</v>
      </c>
      <c r="Q20" s="3">
        <v>3009</v>
      </c>
      <c r="R20" s="3">
        <v>1009</v>
      </c>
    </row>
    <row r="21" spans="1:18" x14ac:dyDescent="0.55000000000000004">
      <c r="A21" s="3">
        <v>2010</v>
      </c>
      <c r="B21" s="3" t="s">
        <v>109</v>
      </c>
      <c r="C21" s="4" t="s">
        <v>51</v>
      </c>
      <c r="D21" s="3" t="s">
        <v>55</v>
      </c>
      <c r="E21" s="4" t="s">
        <v>54</v>
      </c>
      <c r="F21" s="3" t="s">
        <v>61</v>
      </c>
      <c r="G21" s="4" t="s">
        <v>66</v>
      </c>
      <c r="H21" s="3" t="s">
        <v>73</v>
      </c>
      <c r="I21" s="4" t="s">
        <v>69</v>
      </c>
      <c r="J21" s="3">
        <v>300</v>
      </c>
      <c r="K21" s="3">
        <v>74</v>
      </c>
      <c r="L21" s="3">
        <v>56</v>
      </c>
      <c r="M21" s="3">
        <v>30</v>
      </c>
      <c r="N21" s="3">
        <v>40</v>
      </c>
      <c r="O21" s="3" t="s">
        <v>6</v>
      </c>
      <c r="P21" s="3" t="s">
        <v>148</v>
      </c>
      <c r="Q21" s="3">
        <v>-1</v>
      </c>
      <c r="R21" s="3">
        <v>1010</v>
      </c>
    </row>
    <row r="22" spans="1:18" x14ac:dyDescent="0.55000000000000004">
      <c r="A22" s="3">
        <v>2011</v>
      </c>
      <c r="B22" s="3" t="s">
        <v>106</v>
      </c>
      <c r="C22" s="4" t="s">
        <v>43</v>
      </c>
      <c r="D22" s="3" t="s">
        <v>55</v>
      </c>
      <c r="E22" s="4" t="s">
        <v>54</v>
      </c>
      <c r="F22" s="3" t="s">
        <v>61</v>
      </c>
      <c r="G22" s="4" t="s">
        <v>66</v>
      </c>
      <c r="H22" s="3" t="s">
        <v>76</v>
      </c>
      <c r="I22" s="4" t="s">
        <v>72</v>
      </c>
      <c r="J22" s="3">
        <v>270</v>
      </c>
      <c r="K22" s="3">
        <v>54</v>
      </c>
      <c r="L22" s="3">
        <v>42</v>
      </c>
      <c r="M22" s="3">
        <v>44</v>
      </c>
      <c r="N22" s="3">
        <v>60</v>
      </c>
      <c r="O22" s="3" t="s">
        <v>9</v>
      </c>
      <c r="P22" s="3" t="s">
        <v>151</v>
      </c>
      <c r="Q22" s="3">
        <v>3011</v>
      </c>
      <c r="R22" s="3">
        <v>-1</v>
      </c>
    </row>
    <row r="23" spans="1:18" x14ac:dyDescent="0.55000000000000004">
      <c r="A23" s="3">
        <v>2012</v>
      </c>
      <c r="B23" s="3" t="s">
        <v>122</v>
      </c>
      <c r="C23" s="4" t="s">
        <v>35</v>
      </c>
      <c r="D23" s="3" t="s">
        <v>55</v>
      </c>
      <c r="E23" s="4" t="s">
        <v>54</v>
      </c>
      <c r="F23" s="3" t="s">
        <v>62</v>
      </c>
      <c r="G23" s="4" t="s">
        <v>67</v>
      </c>
      <c r="H23" s="3" t="s">
        <v>73</v>
      </c>
      <c r="I23" s="4" t="s">
        <v>69</v>
      </c>
      <c r="J23" s="3">
        <v>300</v>
      </c>
      <c r="K23" s="3">
        <v>74</v>
      </c>
      <c r="L23" s="3">
        <v>56</v>
      </c>
      <c r="M23" s="3">
        <v>30</v>
      </c>
      <c r="N23" s="3">
        <v>40</v>
      </c>
      <c r="O23" s="3" t="s">
        <v>6</v>
      </c>
      <c r="P23" s="3" t="s">
        <v>148</v>
      </c>
      <c r="Q23" s="3">
        <v>3012</v>
      </c>
      <c r="R23" s="3">
        <v>-1</v>
      </c>
    </row>
    <row r="24" spans="1:18" x14ac:dyDescent="0.55000000000000004">
      <c r="A24" s="3">
        <v>2013</v>
      </c>
      <c r="B24" s="3" t="s">
        <v>111</v>
      </c>
      <c r="C24" s="4" t="s">
        <v>37</v>
      </c>
      <c r="D24" s="3" t="s">
        <v>55</v>
      </c>
      <c r="E24" s="4" t="s">
        <v>54</v>
      </c>
      <c r="F24" s="3" t="s">
        <v>61</v>
      </c>
      <c r="G24" s="4" t="s">
        <v>66</v>
      </c>
      <c r="H24" s="3" t="s">
        <v>73</v>
      </c>
      <c r="I24" s="4" t="s">
        <v>69</v>
      </c>
      <c r="J24" s="3">
        <v>300</v>
      </c>
      <c r="K24" s="3">
        <v>80</v>
      </c>
      <c r="L24" s="3">
        <v>56</v>
      </c>
      <c r="M24" s="3">
        <v>24</v>
      </c>
      <c r="N24" s="3">
        <v>40</v>
      </c>
      <c r="O24" s="3" t="s">
        <v>6</v>
      </c>
      <c r="P24" s="3" t="s">
        <v>148</v>
      </c>
      <c r="Q24" s="3">
        <v>3013</v>
      </c>
      <c r="R24" s="3">
        <v>-1</v>
      </c>
    </row>
    <row r="25" spans="1:18" x14ac:dyDescent="0.55000000000000004">
      <c r="A25" s="3">
        <v>2014</v>
      </c>
      <c r="B25" s="3" t="s">
        <v>118</v>
      </c>
      <c r="C25" s="4" t="s">
        <v>42</v>
      </c>
      <c r="D25" s="3" t="s">
        <v>55</v>
      </c>
      <c r="E25" s="4" t="s">
        <v>54</v>
      </c>
      <c r="F25" s="3" t="s">
        <v>59</v>
      </c>
      <c r="G25" s="4" t="s">
        <v>64</v>
      </c>
      <c r="H25" s="3" t="s">
        <v>76</v>
      </c>
      <c r="I25" s="4" t="s">
        <v>72</v>
      </c>
      <c r="J25" s="3">
        <v>270</v>
      </c>
      <c r="K25" s="3">
        <v>50</v>
      </c>
      <c r="L25" s="3">
        <v>42</v>
      </c>
      <c r="M25" s="3">
        <v>50</v>
      </c>
      <c r="N25" s="3">
        <v>58</v>
      </c>
      <c r="O25" s="3" t="s">
        <v>9</v>
      </c>
      <c r="P25" s="3" t="s">
        <v>151</v>
      </c>
      <c r="Q25" s="3">
        <v>3014</v>
      </c>
      <c r="R25" s="3">
        <v>-1</v>
      </c>
    </row>
    <row r="26" spans="1:18" x14ac:dyDescent="0.55000000000000004">
      <c r="A26" s="3">
        <v>2015</v>
      </c>
      <c r="B26" s="3" t="s">
        <v>121</v>
      </c>
      <c r="C26" s="4" t="s">
        <v>45</v>
      </c>
      <c r="D26" s="3" t="s">
        <v>55</v>
      </c>
      <c r="E26" s="4" t="s">
        <v>54</v>
      </c>
      <c r="F26" s="3" t="s">
        <v>58</v>
      </c>
      <c r="G26" s="4" t="s">
        <v>63</v>
      </c>
      <c r="H26" s="3" t="s">
        <v>74</v>
      </c>
      <c r="I26" s="4" t="s">
        <v>70</v>
      </c>
      <c r="J26" s="3">
        <v>330</v>
      </c>
      <c r="K26" s="3">
        <v>45</v>
      </c>
      <c r="L26" s="3">
        <v>65</v>
      </c>
      <c r="M26" s="3">
        <v>52</v>
      </c>
      <c r="N26" s="3">
        <v>38</v>
      </c>
      <c r="O26" s="3" t="s">
        <v>7</v>
      </c>
      <c r="P26" s="3" t="s">
        <v>149</v>
      </c>
      <c r="Q26" s="3">
        <v>-1</v>
      </c>
      <c r="R26" s="3">
        <v>-1</v>
      </c>
    </row>
    <row r="27" spans="1:18" x14ac:dyDescent="0.55000000000000004">
      <c r="A27" s="3">
        <v>2016</v>
      </c>
      <c r="B27" s="3" t="s">
        <v>114</v>
      </c>
      <c r="C27" s="4" t="s">
        <v>46</v>
      </c>
      <c r="D27" s="3" t="s">
        <v>55</v>
      </c>
      <c r="E27" s="4" t="s">
        <v>54</v>
      </c>
      <c r="F27" s="3" t="s">
        <v>59</v>
      </c>
      <c r="G27" s="4" t="s">
        <v>64</v>
      </c>
      <c r="H27" s="3" t="s">
        <v>75</v>
      </c>
      <c r="I27" s="4" t="s">
        <v>71</v>
      </c>
      <c r="J27" s="3">
        <v>270</v>
      </c>
      <c r="K27" s="3">
        <v>50</v>
      </c>
      <c r="L27" s="3">
        <v>52</v>
      </c>
      <c r="M27" s="3">
        <v>60</v>
      </c>
      <c r="N27" s="3">
        <v>38</v>
      </c>
      <c r="O27" s="3" t="s">
        <v>8</v>
      </c>
      <c r="P27" s="3" t="s">
        <v>150</v>
      </c>
      <c r="Q27" s="3">
        <v>-1</v>
      </c>
      <c r="R27" s="3">
        <v>-1</v>
      </c>
    </row>
    <row r="28" spans="1:18" x14ac:dyDescent="0.55000000000000004">
      <c r="A28" s="3">
        <v>2017</v>
      </c>
      <c r="B28" s="3" t="s">
        <v>112</v>
      </c>
      <c r="C28" s="4" t="s">
        <v>40</v>
      </c>
      <c r="D28" s="3" t="s">
        <v>55</v>
      </c>
      <c r="E28" s="4" t="s">
        <v>54</v>
      </c>
      <c r="F28" s="3" t="s">
        <v>61</v>
      </c>
      <c r="G28" s="4" t="s">
        <v>66</v>
      </c>
      <c r="H28" s="3" t="s">
        <v>73</v>
      </c>
      <c r="I28" s="4" t="s">
        <v>69</v>
      </c>
      <c r="J28" s="3">
        <v>300</v>
      </c>
      <c r="K28" s="3">
        <v>78</v>
      </c>
      <c r="L28" s="3">
        <v>52</v>
      </c>
      <c r="M28" s="3">
        <v>30</v>
      </c>
      <c r="N28" s="3">
        <v>40</v>
      </c>
      <c r="O28" s="3" t="s">
        <v>6</v>
      </c>
      <c r="P28" s="3" t="s">
        <v>148</v>
      </c>
      <c r="Q28" s="3">
        <v>-1</v>
      </c>
      <c r="R28" s="3">
        <v>-1</v>
      </c>
    </row>
    <row r="29" spans="1:18" x14ac:dyDescent="0.55000000000000004">
      <c r="A29" s="3">
        <v>2018</v>
      </c>
      <c r="B29" s="3" t="s">
        <v>107</v>
      </c>
      <c r="C29" s="4" t="s">
        <v>36</v>
      </c>
      <c r="D29" s="3" t="s">
        <v>55</v>
      </c>
      <c r="E29" s="4" t="s">
        <v>54</v>
      </c>
      <c r="F29" s="3" t="s">
        <v>59</v>
      </c>
      <c r="G29" s="4" t="s">
        <v>64</v>
      </c>
      <c r="H29" s="3" t="s">
        <v>75</v>
      </c>
      <c r="I29" s="4" t="s">
        <v>71</v>
      </c>
      <c r="J29" s="3">
        <v>250</v>
      </c>
      <c r="K29" s="3">
        <v>50</v>
      </c>
      <c r="L29" s="3">
        <v>50</v>
      </c>
      <c r="M29" s="3">
        <v>60</v>
      </c>
      <c r="N29" s="3">
        <v>40</v>
      </c>
      <c r="O29" s="3" t="s">
        <v>8</v>
      </c>
      <c r="P29" s="3" t="s">
        <v>150</v>
      </c>
      <c r="Q29" s="3">
        <v>-1</v>
      </c>
      <c r="R29" s="3">
        <v>-1</v>
      </c>
    </row>
    <row r="30" spans="1:18" x14ac:dyDescent="0.55000000000000004">
      <c r="A30" s="3">
        <v>2019</v>
      </c>
      <c r="B30" s="3" t="s">
        <v>115</v>
      </c>
      <c r="C30" s="4" t="s">
        <v>53</v>
      </c>
      <c r="D30" s="3" t="s">
        <v>55</v>
      </c>
      <c r="E30" s="4" t="s">
        <v>54</v>
      </c>
      <c r="F30" s="3" t="s">
        <v>58</v>
      </c>
      <c r="G30" s="4" t="s">
        <v>63</v>
      </c>
      <c r="H30" s="3" t="s">
        <v>75</v>
      </c>
      <c r="I30" s="4" t="s">
        <v>71</v>
      </c>
      <c r="J30" s="3">
        <v>500</v>
      </c>
      <c r="K30" s="3">
        <v>100</v>
      </c>
      <c r="L30" s="3">
        <v>100</v>
      </c>
      <c r="M30" s="3">
        <v>120</v>
      </c>
      <c r="N30" s="3">
        <v>80</v>
      </c>
      <c r="O30" s="3" t="s">
        <v>8</v>
      </c>
      <c r="P30" s="3" t="s">
        <v>150</v>
      </c>
      <c r="Q30" s="3">
        <v>-1</v>
      </c>
      <c r="R30" s="3">
        <v>-1</v>
      </c>
    </row>
    <row r="31" spans="1:18" x14ac:dyDescent="0.55000000000000004">
      <c r="A31" s="5">
        <v>3001</v>
      </c>
      <c r="B31" s="5" t="s">
        <v>123</v>
      </c>
      <c r="C31" s="6" t="s">
        <v>78</v>
      </c>
      <c r="D31" s="5" t="s">
        <v>92</v>
      </c>
      <c r="E31" s="6" t="s">
        <v>91</v>
      </c>
      <c r="F31" s="5" t="s">
        <v>58</v>
      </c>
      <c r="G31" s="6" t="s">
        <v>63</v>
      </c>
      <c r="H31" s="5" t="s">
        <v>73</v>
      </c>
      <c r="I31" s="6" t="s">
        <v>69</v>
      </c>
      <c r="J31" s="5">
        <v>500</v>
      </c>
      <c r="K31" s="5">
        <v>135</v>
      </c>
      <c r="L31" s="5">
        <v>90</v>
      </c>
      <c r="M31" s="5">
        <v>51</v>
      </c>
      <c r="N31" s="5">
        <v>74</v>
      </c>
      <c r="O31" s="5" t="s">
        <v>6</v>
      </c>
      <c r="P31" s="5" t="s">
        <v>148</v>
      </c>
      <c r="Q31" s="5">
        <v>-1</v>
      </c>
      <c r="R31" s="5">
        <v>2001</v>
      </c>
    </row>
    <row r="32" spans="1:18" x14ac:dyDescent="0.55000000000000004">
      <c r="A32" s="5">
        <v>3002</v>
      </c>
      <c r="B32" s="5" t="s">
        <v>128</v>
      </c>
      <c r="C32" s="6" t="s">
        <v>79</v>
      </c>
      <c r="D32" s="5" t="s">
        <v>92</v>
      </c>
      <c r="E32" s="6" t="s">
        <v>91</v>
      </c>
      <c r="F32" s="5" t="s">
        <v>58</v>
      </c>
      <c r="G32" s="6" t="s">
        <v>63</v>
      </c>
      <c r="H32" s="5" t="s">
        <v>76</v>
      </c>
      <c r="I32" s="6" t="s">
        <v>72</v>
      </c>
      <c r="J32" s="5">
        <v>470</v>
      </c>
      <c r="K32" s="5">
        <v>100</v>
      </c>
      <c r="L32" s="5">
        <v>80</v>
      </c>
      <c r="M32" s="5">
        <v>70</v>
      </c>
      <c r="N32" s="5">
        <v>100</v>
      </c>
      <c r="O32" s="5" t="s">
        <v>9</v>
      </c>
      <c r="P32" s="5" t="s">
        <v>149</v>
      </c>
      <c r="Q32" s="5">
        <v>-1</v>
      </c>
      <c r="R32" s="5">
        <v>2002</v>
      </c>
    </row>
    <row r="33" spans="1:18" x14ac:dyDescent="0.55000000000000004">
      <c r="A33" s="5">
        <v>3003</v>
      </c>
      <c r="B33" s="5" t="s">
        <v>124</v>
      </c>
      <c r="C33" s="6" t="s">
        <v>80</v>
      </c>
      <c r="D33" s="5" t="s">
        <v>92</v>
      </c>
      <c r="E33" s="6" t="s">
        <v>91</v>
      </c>
      <c r="F33" s="5" t="s">
        <v>58</v>
      </c>
      <c r="G33" s="6" t="s">
        <v>63</v>
      </c>
      <c r="H33" s="5" t="s">
        <v>75</v>
      </c>
      <c r="I33" s="6" t="s">
        <v>71</v>
      </c>
      <c r="J33" s="5">
        <v>450</v>
      </c>
      <c r="K33" s="5">
        <v>80</v>
      </c>
      <c r="L33" s="5">
        <v>90</v>
      </c>
      <c r="M33" s="5">
        <v>100</v>
      </c>
      <c r="N33" s="5">
        <v>80</v>
      </c>
      <c r="O33" s="5" t="s">
        <v>8</v>
      </c>
      <c r="P33" s="5" t="s">
        <v>150</v>
      </c>
      <c r="Q33" s="5">
        <v>-1</v>
      </c>
      <c r="R33" s="5">
        <v>2003</v>
      </c>
    </row>
    <row r="34" spans="1:18" x14ac:dyDescent="0.55000000000000004">
      <c r="A34" s="5">
        <v>3004</v>
      </c>
      <c r="B34" s="5" t="s">
        <v>129</v>
      </c>
      <c r="C34" s="6" t="s">
        <v>93</v>
      </c>
      <c r="D34" s="5" t="s">
        <v>92</v>
      </c>
      <c r="E34" s="6" t="s">
        <v>91</v>
      </c>
      <c r="F34" s="5" t="s">
        <v>58</v>
      </c>
      <c r="G34" s="6" t="s">
        <v>63</v>
      </c>
      <c r="H34" s="5" t="s">
        <v>75</v>
      </c>
      <c r="I34" s="6" t="s">
        <v>71</v>
      </c>
      <c r="J34" s="5">
        <v>450</v>
      </c>
      <c r="K34" s="5">
        <v>76</v>
      </c>
      <c r="L34" s="5">
        <v>89</v>
      </c>
      <c r="M34" s="5">
        <v>110</v>
      </c>
      <c r="N34" s="5">
        <v>75</v>
      </c>
      <c r="O34" s="5" t="s">
        <v>8</v>
      </c>
      <c r="P34" s="5" t="s">
        <v>150</v>
      </c>
      <c r="Q34" s="5">
        <v>-1</v>
      </c>
      <c r="R34" s="5">
        <v>2004</v>
      </c>
    </row>
    <row r="35" spans="1:18" x14ac:dyDescent="0.55000000000000004">
      <c r="A35" s="5">
        <v>3007</v>
      </c>
      <c r="B35" s="5" t="s">
        <v>136</v>
      </c>
      <c r="C35" s="6" t="s">
        <v>89</v>
      </c>
      <c r="D35" s="5" t="s">
        <v>92</v>
      </c>
      <c r="E35" s="6" t="s">
        <v>91</v>
      </c>
      <c r="F35" s="5" t="s">
        <v>59</v>
      </c>
      <c r="G35" s="6" t="s">
        <v>64</v>
      </c>
      <c r="H35" s="5" t="s">
        <v>74</v>
      </c>
      <c r="I35" s="6" t="s">
        <v>70</v>
      </c>
      <c r="J35" s="5">
        <v>550</v>
      </c>
      <c r="K35" s="5">
        <v>95</v>
      </c>
      <c r="L35" s="5">
        <v>130</v>
      </c>
      <c r="M35" s="5">
        <v>60</v>
      </c>
      <c r="N35" s="5">
        <v>65</v>
      </c>
      <c r="O35" s="5" t="s">
        <v>7</v>
      </c>
      <c r="P35" s="5" t="s">
        <v>149</v>
      </c>
      <c r="Q35" s="5">
        <v>-1</v>
      </c>
      <c r="R35" s="5">
        <v>2007</v>
      </c>
    </row>
    <row r="36" spans="1:18" x14ac:dyDescent="0.55000000000000004">
      <c r="A36" s="5">
        <v>3008</v>
      </c>
      <c r="B36" s="5" t="s">
        <v>131</v>
      </c>
      <c r="C36" s="6" t="s">
        <v>85</v>
      </c>
      <c r="D36" s="5" t="s">
        <v>92</v>
      </c>
      <c r="E36" s="6" t="s">
        <v>91</v>
      </c>
      <c r="F36" s="5" t="s">
        <v>58</v>
      </c>
      <c r="G36" s="6" t="s">
        <v>63</v>
      </c>
      <c r="H36" s="5" t="s">
        <v>74</v>
      </c>
      <c r="I36" s="6" t="s">
        <v>70</v>
      </c>
      <c r="J36" s="5">
        <v>550</v>
      </c>
      <c r="K36" s="5">
        <v>90</v>
      </c>
      <c r="L36" s="5">
        <v>130</v>
      </c>
      <c r="M36" s="5">
        <v>55</v>
      </c>
      <c r="N36" s="5">
        <v>75</v>
      </c>
      <c r="O36" s="5" t="s">
        <v>7</v>
      </c>
      <c r="P36" s="5" t="s">
        <v>149</v>
      </c>
      <c r="Q36" s="5">
        <v>-1</v>
      </c>
      <c r="R36" s="5">
        <v>2008</v>
      </c>
    </row>
    <row r="37" spans="1:18" x14ac:dyDescent="0.55000000000000004">
      <c r="A37" s="5">
        <v>3009</v>
      </c>
      <c r="B37" s="5" t="s">
        <v>125</v>
      </c>
      <c r="C37" s="6" t="s">
        <v>86</v>
      </c>
      <c r="D37" s="5" t="s">
        <v>92</v>
      </c>
      <c r="E37" s="6" t="s">
        <v>91</v>
      </c>
      <c r="F37" s="5" t="s">
        <v>60</v>
      </c>
      <c r="G37" s="6" t="s">
        <v>65</v>
      </c>
      <c r="H37" s="5" t="s">
        <v>75</v>
      </c>
      <c r="I37" s="6" t="s">
        <v>71</v>
      </c>
      <c r="J37" s="5">
        <v>550</v>
      </c>
      <c r="K37" s="5">
        <v>100</v>
      </c>
      <c r="L37" s="5">
        <v>80</v>
      </c>
      <c r="M37" s="5">
        <v>100</v>
      </c>
      <c r="N37" s="5">
        <v>80</v>
      </c>
      <c r="O37" s="5" t="s">
        <v>8</v>
      </c>
      <c r="P37" s="5" t="s">
        <v>150</v>
      </c>
      <c r="Q37" s="5">
        <v>-1</v>
      </c>
      <c r="R37" s="5">
        <v>2009</v>
      </c>
    </row>
    <row r="38" spans="1:18" x14ac:dyDescent="0.55000000000000004">
      <c r="A38" s="5">
        <v>3010</v>
      </c>
      <c r="B38" s="5" t="s">
        <v>134</v>
      </c>
      <c r="C38" s="6" t="s">
        <v>87</v>
      </c>
      <c r="D38" s="5" t="s">
        <v>92</v>
      </c>
      <c r="E38" s="6" t="s">
        <v>91</v>
      </c>
      <c r="F38" s="5" t="s">
        <v>61</v>
      </c>
      <c r="G38" s="6" t="s">
        <v>66</v>
      </c>
      <c r="H38" s="5" t="s">
        <v>73</v>
      </c>
      <c r="I38" s="6" t="s">
        <v>69</v>
      </c>
      <c r="J38" s="5">
        <v>500</v>
      </c>
      <c r="K38" s="5">
        <v>120</v>
      </c>
      <c r="L38" s="5">
        <v>100</v>
      </c>
      <c r="M38" s="5">
        <v>50</v>
      </c>
      <c r="N38" s="5">
        <v>80</v>
      </c>
      <c r="O38" s="5" t="s">
        <v>10</v>
      </c>
      <c r="P38" s="5" t="s">
        <v>147</v>
      </c>
      <c r="Q38" s="5">
        <v>-1</v>
      </c>
      <c r="R38" s="5">
        <v>-1</v>
      </c>
    </row>
    <row r="39" spans="1:18" x14ac:dyDescent="0.55000000000000004">
      <c r="A39" s="5">
        <v>3011</v>
      </c>
      <c r="B39" s="5" t="s">
        <v>126</v>
      </c>
      <c r="C39" s="6" t="s">
        <v>81</v>
      </c>
      <c r="D39" s="5" t="s">
        <v>92</v>
      </c>
      <c r="E39" s="6" t="s">
        <v>91</v>
      </c>
      <c r="F39" s="5" t="s">
        <v>61</v>
      </c>
      <c r="G39" s="6" t="s">
        <v>66</v>
      </c>
      <c r="H39" s="5" t="s">
        <v>75</v>
      </c>
      <c r="I39" s="6" t="s">
        <v>71</v>
      </c>
      <c r="J39" s="5">
        <v>450</v>
      </c>
      <c r="K39" s="5">
        <v>100</v>
      </c>
      <c r="L39" s="5">
        <v>70</v>
      </c>
      <c r="M39" s="5">
        <v>100</v>
      </c>
      <c r="N39" s="5">
        <v>80</v>
      </c>
      <c r="O39" s="5" t="s">
        <v>8</v>
      </c>
      <c r="P39" s="5" t="s">
        <v>150</v>
      </c>
      <c r="Q39" s="5">
        <v>-1</v>
      </c>
      <c r="R39" s="5">
        <v>2011</v>
      </c>
    </row>
    <row r="40" spans="1:18" x14ac:dyDescent="0.55000000000000004">
      <c r="A40" s="5">
        <v>3012</v>
      </c>
      <c r="B40" s="5" t="s">
        <v>127</v>
      </c>
      <c r="C40" s="6" t="s">
        <v>82</v>
      </c>
      <c r="D40" s="5" t="s">
        <v>92</v>
      </c>
      <c r="E40" s="6" t="s">
        <v>91</v>
      </c>
      <c r="F40" s="5" t="s">
        <v>62</v>
      </c>
      <c r="G40" s="6" t="s">
        <v>67</v>
      </c>
      <c r="H40" s="5" t="s">
        <v>73</v>
      </c>
      <c r="I40" s="6" t="s">
        <v>69</v>
      </c>
      <c r="J40" s="5">
        <v>500</v>
      </c>
      <c r="K40" s="5">
        <v>124</v>
      </c>
      <c r="L40" s="5">
        <v>90</v>
      </c>
      <c r="M40" s="5">
        <v>56</v>
      </c>
      <c r="N40" s="5">
        <v>80</v>
      </c>
      <c r="O40" s="5" t="s">
        <v>6</v>
      </c>
      <c r="P40" s="5" t="s">
        <v>148</v>
      </c>
      <c r="Q40" s="5">
        <v>-1</v>
      </c>
      <c r="R40" s="5">
        <v>2012</v>
      </c>
    </row>
    <row r="41" spans="1:18" x14ac:dyDescent="0.55000000000000004">
      <c r="A41" s="5">
        <v>3013</v>
      </c>
      <c r="B41" s="5" t="s">
        <v>130</v>
      </c>
      <c r="C41" s="6" t="s">
        <v>77</v>
      </c>
      <c r="D41" s="5" t="s">
        <v>92</v>
      </c>
      <c r="E41" s="6" t="s">
        <v>91</v>
      </c>
      <c r="F41" s="5" t="s">
        <v>61</v>
      </c>
      <c r="G41" s="6" t="s">
        <v>66</v>
      </c>
      <c r="H41" s="5" t="s">
        <v>73</v>
      </c>
      <c r="I41" s="6" t="s">
        <v>69</v>
      </c>
      <c r="J41" s="5">
        <v>500</v>
      </c>
      <c r="K41" s="5">
        <v>132</v>
      </c>
      <c r="L41" s="5">
        <v>88</v>
      </c>
      <c r="M41" s="5">
        <v>56</v>
      </c>
      <c r="N41" s="5">
        <v>74</v>
      </c>
      <c r="O41" s="5" t="s">
        <v>6</v>
      </c>
      <c r="P41" s="5" t="s">
        <v>148</v>
      </c>
      <c r="Q41" s="5">
        <v>-1</v>
      </c>
      <c r="R41" s="5">
        <v>2013</v>
      </c>
    </row>
    <row r="42" spans="1:18" x14ac:dyDescent="0.55000000000000004">
      <c r="A42" s="5">
        <v>3014</v>
      </c>
      <c r="B42" s="5" t="s">
        <v>132</v>
      </c>
      <c r="C42" s="6" t="s">
        <v>84</v>
      </c>
      <c r="D42" s="5" t="s">
        <v>92</v>
      </c>
      <c r="E42" s="6" t="s">
        <v>91</v>
      </c>
      <c r="F42" s="5" t="s">
        <v>59</v>
      </c>
      <c r="G42" s="6" t="s">
        <v>64</v>
      </c>
      <c r="H42" s="5" t="s">
        <v>76</v>
      </c>
      <c r="I42" s="6" t="s">
        <v>72</v>
      </c>
      <c r="J42" s="5">
        <v>470</v>
      </c>
      <c r="K42" s="5">
        <v>90</v>
      </c>
      <c r="L42" s="5">
        <v>80</v>
      </c>
      <c r="M42" s="5">
        <v>90</v>
      </c>
      <c r="N42" s="5">
        <v>90</v>
      </c>
      <c r="O42" s="5" t="s">
        <v>9</v>
      </c>
      <c r="P42" s="5" t="s">
        <v>151</v>
      </c>
      <c r="Q42" s="5">
        <v>-1</v>
      </c>
      <c r="R42" s="5">
        <v>2014</v>
      </c>
    </row>
    <row r="43" spans="1:18" x14ac:dyDescent="0.55000000000000004">
      <c r="A43" s="5">
        <v>3015</v>
      </c>
      <c r="B43" s="5" t="s">
        <v>135</v>
      </c>
      <c r="C43" s="6" t="s">
        <v>88</v>
      </c>
      <c r="D43" s="5" t="s">
        <v>92</v>
      </c>
      <c r="E43" s="6" t="s">
        <v>91</v>
      </c>
      <c r="F43" s="5" t="s">
        <v>61</v>
      </c>
      <c r="G43" s="6" t="s">
        <v>66</v>
      </c>
      <c r="H43" s="5" t="s">
        <v>74</v>
      </c>
      <c r="I43" s="6" t="s">
        <v>70</v>
      </c>
      <c r="J43" s="5">
        <v>550</v>
      </c>
      <c r="K43" s="5">
        <v>90</v>
      </c>
      <c r="L43" s="5">
        <v>150</v>
      </c>
      <c r="M43" s="5">
        <v>50</v>
      </c>
      <c r="N43" s="5">
        <v>60</v>
      </c>
      <c r="O43" s="5" t="s">
        <v>7</v>
      </c>
      <c r="P43" s="5" t="s">
        <v>149</v>
      </c>
      <c r="Q43" s="5">
        <v>-1</v>
      </c>
      <c r="R43" s="5">
        <v>-1</v>
      </c>
    </row>
    <row r="44" spans="1:18" x14ac:dyDescent="0.55000000000000004">
      <c r="A44" s="5">
        <v>3016</v>
      </c>
      <c r="B44" s="5" t="s">
        <v>137</v>
      </c>
      <c r="C44" s="6" t="s">
        <v>90</v>
      </c>
      <c r="D44" s="5" t="s">
        <v>92</v>
      </c>
      <c r="E44" s="6" t="s">
        <v>91</v>
      </c>
      <c r="F44" s="5" t="s">
        <v>59</v>
      </c>
      <c r="G44" s="6" t="s">
        <v>64</v>
      </c>
      <c r="H44" s="5" t="s">
        <v>73</v>
      </c>
      <c r="I44" s="6" t="s">
        <v>69</v>
      </c>
      <c r="J44" s="5">
        <v>500</v>
      </c>
      <c r="K44" s="5">
        <v>125</v>
      </c>
      <c r="L44" s="5">
        <v>95</v>
      </c>
      <c r="M44" s="5">
        <v>56</v>
      </c>
      <c r="N44" s="5">
        <v>74</v>
      </c>
      <c r="O44" s="5" t="s">
        <v>10</v>
      </c>
      <c r="P44" s="5" t="s">
        <v>147</v>
      </c>
      <c r="Q44" s="5">
        <v>-1</v>
      </c>
      <c r="R44" s="5">
        <v>-1</v>
      </c>
    </row>
    <row r="45" spans="1:18" x14ac:dyDescent="0.55000000000000004">
      <c r="A45" s="5">
        <v>3017</v>
      </c>
      <c r="B45" s="5" t="s">
        <v>133</v>
      </c>
      <c r="C45" s="6" t="s">
        <v>83</v>
      </c>
      <c r="D45" s="5" t="s">
        <v>92</v>
      </c>
      <c r="E45" s="6" t="s">
        <v>91</v>
      </c>
      <c r="F45" s="5" t="s">
        <v>62</v>
      </c>
      <c r="G45" s="6" t="s">
        <v>67</v>
      </c>
      <c r="H45" s="5" t="s">
        <v>74</v>
      </c>
      <c r="I45" s="6" t="s">
        <v>70</v>
      </c>
      <c r="J45" s="5">
        <v>500</v>
      </c>
      <c r="K45" s="5">
        <v>100</v>
      </c>
      <c r="L45" s="5">
        <v>100</v>
      </c>
      <c r="M45" s="5">
        <v>70</v>
      </c>
      <c r="N45" s="5">
        <v>70</v>
      </c>
      <c r="O45" s="5" t="s">
        <v>8</v>
      </c>
      <c r="P45" s="5" t="s">
        <v>150</v>
      </c>
      <c r="Q45" s="5">
        <v>-1</v>
      </c>
      <c r="R45" s="5">
        <v>2012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85912-2F3A-4585-9048-DC033A32B8BC}">
  <dimension ref="A1:S45"/>
  <sheetViews>
    <sheetView topLeftCell="B1" workbookViewId="0">
      <selection activeCell="S12" sqref="S12"/>
    </sheetView>
  </sheetViews>
  <sheetFormatPr defaultRowHeight="17.600000000000001" x14ac:dyDescent="0.55000000000000004"/>
  <cols>
    <col min="15" max="15" width="15.5703125" customWidth="1"/>
    <col min="16" max="16" width="15.78515625" customWidth="1"/>
  </cols>
  <sheetData>
    <row r="1" spans="1:19" x14ac:dyDescent="0.55000000000000004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57</v>
      </c>
      <c r="H1" t="s">
        <v>29</v>
      </c>
      <c r="I1" t="s">
        <v>68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0</v>
      </c>
      <c r="P1" t="s">
        <v>146</v>
      </c>
      <c r="Q1" t="s">
        <v>142</v>
      </c>
      <c r="R1" t="s">
        <v>139</v>
      </c>
      <c r="S1" t="s">
        <v>138</v>
      </c>
    </row>
    <row r="2" spans="1:19" x14ac:dyDescent="0.55000000000000004">
      <c r="A2" s="1">
        <v>5001</v>
      </c>
      <c r="B2" s="1" t="s">
        <v>94</v>
      </c>
      <c r="C2" s="2" t="s">
        <v>11</v>
      </c>
      <c r="D2" s="1" t="s">
        <v>22</v>
      </c>
      <c r="E2" s="2" t="s">
        <v>21</v>
      </c>
      <c r="F2" s="1" t="s">
        <v>20</v>
      </c>
      <c r="G2" s="2" t="s">
        <v>56</v>
      </c>
      <c r="H2" s="2" t="s">
        <v>20</v>
      </c>
      <c r="I2" s="2" t="s">
        <v>56</v>
      </c>
      <c r="J2" s="1" cm="1">
        <f t="array" ref="J2">_xlfn.SWITCH(O2,
"Balance",150+GrowthType!$B$2*(EnemyStatus!R2-1),
"Atype",150+GrowthType!$B$3*(EnemyStatus!R2-1),
"Dtype",150+GrowthType!$B$4*(EnemyStatus!R2-1),
"Itype",150+GrowthType!$B$5*(EnemyStatus!R2-1),
"Stype",150+GrowthType!$B$6*(EnemyStatus!R2-1))</f>
        <v>195</v>
      </c>
      <c r="K2" s="1" cm="1">
        <f t="array" ref="K2">_xlfn.SWITCH(O2,
 "Balance", 30+GrowthType!$C$2*(EnemyStatus!R2-1),
 "Atype",   30+GrowthType!$C$3*(EnemyStatus!R2-1),
 "Dtype",   30+GrowthType!$C$4*(EnemyStatus!R2-1),
 "Itype",   30+GrowthType!$C$5*(EnemyStatus!R2-1),
 "Stype",   30+GrowthType!$C$6*(EnemyStatus!R2-1))</f>
        <v>39</v>
      </c>
      <c r="L2" s="1" cm="1">
        <f t="array" ref="L2">_xlfn.SWITCH(O2,
 "Balance", 30+GrowthType!$D$2*(EnemyStatus!R2-1),
 "Atype",   30+GrowthType!$D$3*(EnemyStatus!R2-1),
 "Dtype",   30+GrowthType!$D$4*(EnemyStatus!R2-1),
 "Itype",   30+GrowthType!$D$5*(EnemyStatus!R2-1),
 "Stype",   30+GrowthType!$D$6*(EnemyStatus!R2-1))</f>
        <v>39</v>
      </c>
      <c r="M2" s="1" cm="1">
        <f t="array" ref="M2">_xlfn.SWITCH(O2,
 "Balance", 20+GrowthType!$E$2*(EnemyStatus!R2-1),
 "Atype",   20+GrowthType!$E$3*(EnemyStatus!R2-1),
 "Dtype",   20+GrowthType!$E$4*(EnemyStatus!R2-1),
 "Itype",   20+GrowthType!$E$5*(EnemyStatus!R2-1),
 "Stype",   20+GrowthType!$E$6*(EnemyStatus!R2-1))</f>
        <v>26</v>
      </c>
      <c r="N2" s="1" cm="1">
        <f t="array" ref="N2">_xlfn.SWITCH(O2,
 "Balance", 20+GrowthType!$F$2*(EnemyStatus!R2-1),
 "Atype",   20+GrowthType!$F$3*(EnemyStatus!R2-1),
 "Dtype",   20+GrowthType!$F$4*(EnemyStatus!R2-1),
 "Itype",   20+GrowthType!$F$5*(EnemyStatus!R2-1),
 "Stype",   20+GrowthType!$F$6*(EnemyStatus!R2-1))</f>
        <v>26</v>
      </c>
      <c r="O2" s="1" t="s">
        <v>10</v>
      </c>
      <c r="P2" s="1" t="s">
        <v>147</v>
      </c>
      <c r="Q2" s="1">
        <v>-1</v>
      </c>
      <c r="R2" s="1">
        <v>4</v>
      </c>
      <c r="S2" s="1">
        <v>40</v>
      </c>
    </row>
    <row r="3" spans="1:19" x14ac:dyDescent="0.55000000000000004">
      <c r="A3" s="1">
        <v>5002</v>
      </c>
      <c r="B3" s="1" t="s">
        <v>95</v>
      </c>
      <c r="C3" s="2" t="s">
        <v>16</v>
      </c>
      <c r="D3" s="1" t="s">
        <v>22</v>
      </c>
      <c r="E3" s="2" t="s">
        <v>21</v>
      </c>
      <c r="F3" s="1" t="s">
        <v>20</v>
      </c>
      <c r="G3" s="2" t="s">
        <v>56</v>
      </c>
      <c r="H3" s="2" t="s">
        <v>20</v>
      </c>
      <c r="I3" s="2" t="s">
        <v>56</v>
      </c>
      <c r="J3" s="1" cm="1">
        <f t="array" ref="J3">_xlfn.SWITCH(O3,
"Balance",150+GrowthType!$B$2*(EnemyStatus!R3-1),
"Atype",150+GrowthType!$B$3*(EnemyStatus!R3-1),
"Dtype",150+GrowthType!$B$4*(EnemyStatus!R3-1),
"Itype",150+GrowthType!$B$5*(EnemyStatus!R3-1),
"Stype",150+GrowthType!$B$6*(EnemyStatus!R3-1))</f>
        <v>180</v>
      </c>
      <c r="K3" s="1" cm="1">
        <f t="array" ref="K3">_xlfn.SWITCH(O3,
 "Balance", 30+GrowthType!$C$2*(EnemyStatus!R3-1),
 "Atype",   30+GrowthType!$C$3*(EnemyStatus!R3-1),
 "Dtype",   30+GrowthType!$C$4*(EnemyStatus!R3-1),
 "Itype",   30+GrowthType!$C$5*(EnemyStatus!R3-1),
 "Stype",   30+GrowthType!$C$6*(EnemyStatus!R3-1))</f>
        <v>36</v>
      </c>
      <c r="L3" s="1" cm="1">
        <f t="array" ref="L3">_xlfn.SWITCH(O3,
 "Balance", 30+GrowthType!$D$2*(EnemyStatus!R3-1),
 "Atype",   30+GrowthType!$D$3*(EnemyStatus!R3-1),
 "Dtype",   30+GrowthType!$D$4*(EnemyStatus!R3-1),
 "Itype",   30+GrowthType!$D$5*(EnemyStatus!R3-1),
 "Stype",   30+GrowthType!$D$6*(EnemyStatus!R3-1))</f>
        <v>36</v>
      </c>
      <c r="M3" s="1" cm="1">
        <f t="array" ref="M3">_xlfn.SWITCH(O3,
 "Balance", 20+GrowthType!$E$2*(EnemyStatus!R3-1),
 "Atype",   20+GrowthType!$E$3*(EnemyStatus!R3-1),
 "Dtype",   20+GrowthType!$E$4*(EnemyStatus!R3-1),
 "Itype",   20+GrowthType!$E$5*(EnemyStatus!R3-1),
 "Stype",   20+GrowthType!$E$6*(EnemyStatus!R3-1))</f>
        <v>24</v>
      </c>
      <c r="N3" s="1" cm="1">
        <f t="array" ref="N3">_xlfn.SWITCH(O3,
 "Balance", 20+GrowthType!$F$2*(EnemyStatus!R3-1),
 "Atype",   20+GrowthType!$F$3*(EnemyStatus!R3-1),
 "Dtype",   20+GrowthType!$F$4*(EnemyStatus!R3-1),
 "Itype",   20+GrowthType!$F$5*(EnemyStatus!R3-1),
 "Stype",   20+GrowthType!$F$6*(EnemyStatus!R3-1))</f>
        <v>24</v>
      </c>
      <c r="O3" s="1" t="s">
        <v>10</v>
      </c>
      <c r="P3" s="1" t="s">
        <v>147</v>
      </c>
      <c r="Q3" s="1">
        <v>-1</v>
      </c>
      <c r="R3" s="1">
        <v>3</v>
      </c>
      <c r="S3" s="1">
        <v>30</v>
      </c>
    </row>
    <row r="4" spans="1:19" x14ac:dyDescent="0.55000000000000004">
      <c r="A4" s="1">
        <v>5003</v>
      </c>
      <c r="B4" s="1" t="s">
        <v>96</v>
      </c>
      <c r="C4" s="2" t="s">
        <v>13</v>
      </c>
      <c r="D4" s="1" t="s">
        <v>22</v>
      </c>
      <c r="E4" s="2" t="s">
        <v>21</v>
      </c>
      <c r="F4" s="1" t="s">
        <v>20</v>
      </c>
      <c r="G4" s="2" t="s">
        <v>56</v>
      </c>
      <c r="H4" s="2" t="s">
        <v>20</v>
      </c>
      <c r="I4" s="2" t="s">
        <v>56</v>
      </c>
      <c r="J4" s="1" cm="1">
        <f t="array" ref="J4">_xlfn.SWITCH(O4,
"Balance",150+GrowthType!$B$2*(EnemyStatus!R4-1),
"Atype",150+GrowthType!$B$3*(EnemyStatus!R4-1),
"Dtype",150+GrowthType!$B$4*(EnemyStatus!R4-1),
"Itype",150+GrowthType!$B$5*(EnemyStatus!R4-1),
"Stype",150+GrowthType!$B$6*(EnemyStatus!R4-1))</f>
        <v>150</v>
      </c>
      <c r="K4" s="1" cm="1">
        <f t="array" ref="K4">_xlfn.SWITCH(O4,
 "Balance", 30+GrowthType!$C$2*(EnemyStatus!R4-1),
 "Atype",   30+GrowthType!$C$3*(EnemyStatus!R4-1),
 "Dtype",   30+GrowthType!$C$4*(EnemyStatus!R4-1),
 "Itype",   30+GrowthType!$C$5*(EnemyStatus!R4-1),
 "Stype",   30+GrowthType!$C$6*(EnemyStatus!R4-1))</f>
        <v>30</v>
      </c>
      <c r="L4" s="1" cm="1">
        <f t="array" ref="L4">_xlfn.SWITCH(O4,
 "Balance", 30+GrowthType!$D$2*(EnemyStatus!R4-1),
 "Atype",   30+GrowthType!$D$3*(EnemyStatus!R4-1),
 "Dtype",   30+GrowthType!$D$4*(EnemyStatus!R4-1),
 "Itype",   30+GrowthType!$D$5*(EnemyStatus!R4-1),
 "Stype",   30+GrowthType!$D$6*(EnemyStatus!R4-1))</f>
        <v>30</v>
      </c>
      <c r="M4" s="1" cm="1">
        <f t="array" ref="M4">_xlfn.SWITCH(O4,
 "Balance", 20+GrowthType!$E$2*(EnemyStatus!R4-1),
 "Atype",   20+GrowthType!$E$3*(EnemyStatus!R4-1),
 "Dtype",   20+GrowthType!$E$4*(EnemyStatus!R4-1),
 "Itype",   20+GrowthType!$E$5*(EnemyStatus!R4-1),
 "Stype",   20+GrowthType!$E$6*(EnemyStatus!R4-1))</f>
        <v>20</v>
      </c>
      <c r="N4" s="1" cm="1">
        <f t="array" ref="N4">_xlfn.SWITCH(O4,
 "Balance", 20+GrowthType!$F$2*(EnemyStatus!R4-1),
 "Atype",   20+GrowthType!$F$3*(EnemyStatus!R4-1),
 "Dtype",   20+GrowthType!$F$4*(EnemyStatus!R4-1),
 "Itype",   20+GrowthType!$F$5*(EnemyStatus!R4-1),
 "Stype",   20+GrowthType!$F$6*(EnemyStatus!R4-1))</f>
        <v>20</v>
      </c>
      <c r="O4" s="1" t="s">
        <v>10</v>
      </c>
      <c r="P4" s="1" t="s">
        <v>147</v>
      </c>
      <c r="Q4" s="1">
        <v>-1</v>
      </c>
      <c r="R4" s="1">
        <v>1</v>
      </c>
      <c r="S4" s="1">
        <f t="shared" ref="S4" si="0">10+(R4-1)</f>
        <v>10</v>
      </c>
    </row>
    <row r="5" spans="1:19" x14ac:dyDescent="0.55000000000000004">
      <c r="A5" s="1">
        <v>5004</v>
      </c>
      <c r="B5" s="1" t="s">
        <v>97</v>
      </c>
      <c r="C5" s="2" t="s">
        <v>145</v>
      </c>
      <c r="D5" s="1" t="s">
        <v>22</v>
      </c>
      <c r="E5" s="2" t="s">
        <v>21</v>
      </c>
      <c r="F5" s="1" t="s">
        <v>20</v>
      </c>
      <c r="G5" s="2" t="s">
        <v>56</v>
      </c>
      <c r="H5" s="2" t="s">
        <v>20</v>
      </c>
      <c r="I5" s="2" t="s">
        <v>56</v>
      </c>
      <c r="J5" s="1" cm="1">
        <f t="array" ref="J5">_xlfn.SWITCH(O5,
"Balance",150+GrowthType!$B$2*(EnemyStatus!R5-1),
"Atype",150+GrowthType!$B$3*(EnemyStatus!R5-1),
"Dtype",150+GrowthType!$B$4*(EnemyStatus!R5-1),
"Itype",150+GrowthType!$B$5*(EnemyStatus!R5-1),
"Stype",150+GrowthType!$B$6*(EnemyStatus!R5-1))</f>
        <v>180</v>
      </c>
      <c r="K5" s="1" cm="1">
        <f t="array" ref="K5">_xlfn.SWITCH(O5,
 "Balance", 30+GrowthType!$C$2*(EnemyStatus!R5-1),
 "Atype",   30+GrowthType!$C$3*(EnemyStatus!R5-1),
 "Dtype",   30+GrowthType!$C$4*(EnemyStatus!R5-1),
 "Itype",   30+GrowthType!$C$5*(EnemyStatus!R5-1),
 "Stype",   30+GrowthType!$C$6*(EnemyStatus!R5-1))</f>
        <v>36</v>
      </c>
      <c r="L5" s="1" cm="1">
        <f t="array" ref="L5">_xlfn.SWITCH(O5,
 "Balance", 30+GrowthType!$D$2*(EnemyStatus!R5-1),
 "Atype",   30+GrowthType!$D$3*(EnemyStatus!R5-1),
 "Dtype",   30+GrowthType!$D$4*(EnemyStatus!R5-1),
 "Itype",   30+GrowthType!$D$5*(EnemyStatus!R5-1),
 "Stype",   30+GrowthType!$D$6*(EnemyStatus!R5-1))</f>
        <v>36</v>
      </c>
      <c r="M5" s="1" cm="1">
        <f t="array" ref="M5">_xlfn.SWITCH(O5,
 "Balance", 20+GrowthType!$E$2*(EnemyStatus!R5-1),
 "Atype",   20+GrowthType!$E$3*(EnemyStatus!R5-1),
 "Dtype",   20+GrowthType!$E$4*(EnemyStatus!R5-1),
 "Itype",   20+GrowthType!$E$5*(EnemyStatus!R5-1),
 "Stype",   20+GrowthType!$E$6*(EnemyStatus!R5-1))</f>
        <v>24</v>
      </c>
      <c r="N5" s="1" cm="1">
        <f t="array" ref="N5">_xlfn.SWITCH(O5,
 "Balance", 20+GrowthType!$F$2*(EnemyStatus!R5-1),
 "Atype",   20+GrowthType!$F$3*(EnemyStatus!R5-1),
 "Dtype",   20+GrowthType!$F$4*(EnemyStatus!R5-1),
 "Itype",   20+GrowthType!$F$5*(EnemyStatus!R5-1),
 "Stype",   20+GrowthType!$F$6*(EnemyStatus!R5-1))</f>
        <v>24</v>
      </c>
      <c r="O5" s="1" t="s">
        <v>10</v>
      </c>
      <c r="P5" s="1" t="s">
        <v>147</v>
      </c>
      <c r="Q5" s="1">
        <v>-1</v>
      </c>
      <c r="R5" s="1">
        <v>3</v>
      </c>
      <c r="S5" s="1">
        <v>30</v>
      </c>
    </row>
    <row r="6" spans="1:19" x14ac:dyDescent="0.55000000000000004">
      <c r="A6" s="1">
        <v>5005</v>
      </c>
      <c r="B6" s="1" t="s">
        <v>99</v>
      </c>
      <c r="C6" s="2" t="s">
        <v>14</v>
      </c>
      <c r="D6" s="1" t="s">
        <v>22</v>
      </c>
      <c r="E6" s="2" t="s">
        <v>21</v>
      </c>
      <c r="F6" s="1" t="s">
        <v>20</v>
      </c>
      <c r="G6" s="2" t="s">
        <v>56</v>
      </c>
      <c r="H6" s="2" t="s">
        <v>20</v>
      </c>
      <c r="I6" s="2" t="s">
        <v>56</v>
      </c>
      <c r="J6" s="1" cm="1">
        <f t="array" ref="J6">_xlfn.SWITCH(O6,
"Balance",150+GrowthType!$B$2*(EnemyStatus!R6-1),
"Atype",150+GrowthType!$B$3*(EnemyStatus!R6-1),
"Dtype",150+GrowthType!$B$4*(EnemyStatus!R6-1),
"Itype",150+GrowthType!$B$5*(EnemyStatus!R6-1),
"Stype",150+GrowthType!$B$6*(EnemyStatus!R6-1))</f>
        <v>165</v>
      </c>
      <c r="K6" s="1" cm="1">
        <f t="array" ref="K6">_xlfn.SWITCH(O6,
 "Balance", 30+GrowthType!$C$2*(EnemyStatus!R6-1),
 "Atype",   30+GrowthType!$C$3*(EnemyStatus!R6-1),
 "Dtype",   30+GrowthType!$C$4*(EnemyStatus!R6-1),
 "Itype",   30+GrowthType!$C$5*(EnemyStatus!R6-1),
 "Stype",   30+GrowthType!$C$6*(EnemyStatus!R6-1))</f>
        <v>33</v>
      </c>
      <c r="L6" s="1" cm="1">
        <f t="array" ref="L6">_xlfn.SWITCH(O6,
 "Balance", 30+GrowthType!$D$2*(EnemyStatus!R6-1),
 "Atype",   30+GrowthType!$D$3*(EnemyStatus!R6-1),
 "Dtype",   30+GrowthType!$D$4*(EnemyStatus!R6-1),
 "Itype",   30+GrowthType!$D$5*(EnemyStatus!R6-1),
 "Stype",   30+GrowthType!$D$6*(EnemyStatus!R6-1))</f>
        <v>33</v>
      </c>
      <c r="M6" s="1" cm="1">
        <f t="array" ref="M6">_xlfn.SWITCH(O6,
 "Balance", 20+GrowthType!$E$2*(EnemyStatus!R6-1),
 "Atype",   20+GrowthType!$E$3*(EnemyStatus!R6-1),
 "Dtype",   20+GrowthType!$E$4*(EnemyStatus!R6-1),
 "Itype",   20+GrowthType!$E$5*(EnemyStatus!R6-1),
 "Stype",   20+GrowthType!$E$6*(EnemyStatus!R6-1))</f>
        <v>22</v>
      </c>
      <c r="N6" s="1" cm="1">
        <f t="array" ref="N6">_xlfn.SWITCH(O6,
 "Balance", 20+GrowthType!$F$2*(EnemyStatus!R6-1),
 "Atype",   20+GrowthType!$F$3*(EnemyStatus!R6-1),
 "Dtype",   20+GrowthType!$F$4*(EnemyStatus!R6-1),
 "Itype",   20+GrowthType!$F$5*(EnemyStatus!R6-1),
 "Stype",   20+GrowthType!$F$6*(EnemyStatus!R6-1))</f>
        <v>22</v>
      </c>
      <c r="O6" s="1" t="s">
        <v>10</v>
      </c>
      <c r="P6" s="1" t="s">
        <v>147</v>
      </c>
      <c r="Q6" s="1">
        <v>-1</v>
      </c>
      <c r="R6" s="1">
        <v>2</v>
      </c>
      <c r="S6" s="1">
        <v>20</v>
      </c>
    </row>
    <row r="7" spans="1:19" x14ac:dyDescent="0.55000000000000004">
      <c r="A7" s="1">
        <v>5006</v>
      </c>
      <c r="B7" s="1" t="s">
        <v>98</v>
      </c>
      <c r="C7" s="2" t="s">
        <v>15</v>
      </c>
      <c r="D7" s="1" t="s">
        <v>22</v>
      </c>
      <c r="E7" s="2" t="s">
        <v>21</v>
      </c>
      <c r="F7" s="1" t="s">
        <v>20</v>
      </c>
      <c r="G7" s="2" t="s">
        <v>56</v>
      </c>
      <c r="H7" s="2" t="s">
        <v>20</v>
      </c>
      <c r="I7" s="2" t="s">
        <v>56</v>
      </c>
      <c r="J7" s="1" cm="1">
        <f t="array" ref="J7">_xlfn.SWITCH(O7,
"Balance",150+GrowthType!$B$2*(EnemyStatus!R7-1),
"Atype",150+GrowthType!$B$3*(EnemyStatus!R7-1),
"Dtype",150+GrowthType!$B$4*(EnemyStatus!R7-1),
"Itype",150+GrowthType!$B$5*(EnemyStatus!R7-1),
"Stype",150+GrowthType!$B$6*(EnemyStatus!R7-1))</f>
        <v>165</v>
      </c>
      <c r="K7" s="1" cm="1">
        <f t="array" ref="K7">_xlfn.SWITCH(O7,
 "Balance", 30+GrowthType!$C$2*(EnemyStatus!R7-1),
 "Atype",   30+GrowthType!$C$3*(EnemyStatus!R7-1),
 "Dtype",   30+GrowthType!$C$4*(EnemyStatus!R7-1),
 "Itype",   30+GrowthType!$C$5*(EnemyStatus!R7-1),
 "Stype",   30+GrowthType!$C$6*(EnemyStatus!R7-1))</f>
        <v>33</v>
      </c>
      <c r="L7" s="1" cm="1">
        <f t="array" ref="L7">_xlfn.SWITCH(O7,
 "Balance", 30+GrowthType!$D$2*(EnemyStatus!R7-1),
 "Atype",   30+GrowthType!$D$3*(EnemyStatus!R7-1),
 "Dtype",   30+GrowthType!$D$4*(EnemyStatus!R7-1),
 "Itype",   30+GrowthType!$D$5*(EnemyStatus!R7-1),
 "Stype",   30+GrowthType!$D$6*(EnemyStatus!R7-1))</f>
        <v>33</v>
      </c>
      <c r="M7" s="1" cm="1">
        <f t="array" ref="M7">_xlfn.SWITCH(O7,
 "Balance", 20+GrowthType!$E$2*(EnemyStatus!R7-1),
 "Atype",   20+GrowthType!$E$3*(EnemyStatus!R7-1),
 "Dtype",   20+GrowthType!$E$4*(EnemyStatus!R7-1),
 "Itype",   20+GrowthType!$E$5*(EnemyStatus!R7-1),
 "Stype",   20+GrowthType!$E$6*(EnemyStatus!R7-1))</f>
        <v>22</v>
      </c>
      <c r="N7" s="1" cm="1">
        <f t="array" ref="N7">_xlfn.SWITCH(O7,
 "Balance", 20+GrowthType!$F$2*(EnemyStatus!R7-1),
 "Atype",   20+GrowthType!$F$3*(EnemyStatus!R7-1),
 "Dtype",   20+GrowthType!$F$4*(EnemyStatus!R7-1),
 "Itype",   20+GrowthType!$F$5*(EnemyStatus!R7-1),
 "Stype",   20+GrowthType!$F$6*(EnemyStatus!R7-1))</f>
        <v>22</v>
      </c>
      <c r="O7" s="1" t="s">
        <v>10</v>
      </c>
      <c r="P7" s="1" t="s">
        <v>147</v>
      </c>
      <c r="Q7" s="1">
        <v>-1</v>
      </c>
      <c r="R7" s="1">
        <v>2</v>
      </c>
      <c r="S7" s="1">
        <v>20</v>
      </c>
    </row>
    <row r="8" spans="1:19" x14ac:dyDescent="0.55000000000000004">
      <c r="A8" s="1">
        <v>5007</v>
      </c>
      <c r="B8" s="1" t="s">
        <v>144</v>
      </c>
      <c r="C8" s="2" t="s">
        <v>18</v>
      </c>
      <c r="D8" s="1" t="s">
        <v>22</v>
      </c>
      <c r="E8" s="2" t="s">
        <v>21</v>
      </c>
      <c r="F8" s="1" t="s">
        <v>20</v>
      </c>
      <c r="G8" s="2" t="s">
        <v>56</v>
      </c>
      <c r="H8" s="2" t="s">
        <v>20</v>
      </c>
      <c r="I8" s="2" t="s">
        <v>56</v>
      </c>
      <c r="J8" s="1" cm="1">
        <f t="array" ref="J8">_xlfn.SWITCH(O8,
"Balance",150+GrowthType!$B$2*(EnemyStatus!R8-1),
"Atype",150+GrowthType!$B$3*(EnemyStatus!R8-1),
"Dtype",150+GrowthType!$B$4*(EnemyStatus!R8-1),
"Itype",150+GrowthType!$B$5*(EnemyStatus!R8-1),
"Stype",150+GrowthType!$B$6*(EnemyStatus!R8-1))</f>
        <v>150</v>
      </c>
      <c r="K8" s="1" cm="1">
        <f t="array" ref="K8">_xlfn.SWITCH(O8,
 "Balance", 30+GrowthType!$C$2*(EnemyStatus!R8-1),
 "Atype",   30+GrowthType!$C$3*(EnemyStatus!R8-1),
 "Dtype",   30+GrowthType!$C$4*(EnemyStatus!R8-1),
 "Itype",   30+GrowthType!$C$5*(EnemyStatus!R8-1),
 "Stype",   30+GrowthType!$C$6*(EnemyStatus!R8-1))</f>
        <v>30</v>
      </c>
      <c r="L8" s="1" cm="1">
        <f t="array" ref="L8">_xlfn.SWITCH(O8,
 "Balance", 30+GrowthType!$D$2*(EnemyStatus!R8-1),
 "Atype",   30+GrowthType!$D$3*(EnemyStatus!R8-1),
 "Dtype",   30+GrowthType!$D$4*(EnemyStatus!R8-1),
 "Itype",   30+GrowthType!$D$5*(EnemyStatus!R8-1),
 "Stype",   30+GrowthType!$D$6*(EnemyStatus!R8-1))</f>
        <v>30</v>
      </c>
      <c r="M8" s="1" cm="1">
        <f t="array" ref="M8">_xlfn.SWITCH(O8,
 "Balance", 20+GrowthType!$E$2*(EnemyStatus!R8-1),
 "Atype",   20+GrowthType!$E$3*(EnemyStatus!R8-1),
 "Dtype",   20+GrowthType!$E$4*(EnemyStatus!R8-1),
 "Itype",   20+GrowthType!$E$5*(EnemyStatus!R8-1),
 "Stype",   20+GrowthType!$E$6*(EnemyStatus!R8-1))</f>
        <v>20</v>
      </c>
      <c r="N8" s="1" cm="1">
        <f t="array" ref="N8">_xlfn.SWITCH(O8,
 "Balance", 20+GrowthType!$F$2*(EnemyStatus!R8-1),
 "Atype",   20+GrowthType!$F$3*(EnemyStatus!R8-1),
 "Dtype",   20+GrowthType!$F$4*(EnemyStatus!R8-1),
 "Itype",   20+GrowthType!$F$5*(EnemyStatus!R8-1),
 "Stype",   20+GrowthType!$F$6*(EnemyStatus!R8-1))</f>
        <v>20</v>
      </c>
      <c r="O8" s="1" t="s">
        <v>10</v>
      </c>
      <c r="P8" s="1" t="s">
        <v>147</v>
      </c>
      <c r="Q8" s="1">
        <v>-1</v>
      </c>
      <c r="R8" s="1">
        <v>1</v>
      </c>
      <c r="S8" s="1">
        <v>1000</v>
      </c>
    </row>
    <row r="9" spans="1:19" x14ac:dyDescent="0.55000000000000004">
      <c r="A9" s="1">
        <v>5008</v>
      </c>
      <c r="B9" s="1" t="s">
        <v>100</v>
      </c>
      <c r="C9" s="2" t="s">
        <v>19</v>
      </c>
      <c r="D9" s="1" t="s">
        <v>22</v>
      </c>
      <c r="E9" s="2" t="s">
        <v>21</v>
      </c>
      <c r="F9" s="1" t="s">
        <v>20</v>
      </c>
      <c r="G9" s="2" t="s">
        <v>56</v>
      </c>
      <c r="H9" s="2" t="s">
        <v>20</v>
      </c>
      <c r="I9" s="2" t="s">
        <v>56</v>
      </c>
      <c r="J9" s="1" cm="1">
        <f t="array" ref="J9">_xlfn.SWITCH(O9,
"Balance",150+GrowthType!$B$2*(EnemyStatus!R9-1),
"Atype",150+GrowthType!$B$3*(EnemyStatus!R9-1),
"Dtype",150+GrowthType!$B$4*(EnemyStatus!R9-1),
"Itype",150+GrowthType!$B$5*(EnemyStatus!R9-1),
"Stype",150+GrowthType!$B$6*(EnemyStatus!R9-1))</f>
        <v>165</v>
      </c>
      <c r="K9" s="1" cm="1">
        <f t="array" ref="K9">_xlfn.SWITCH(O9,
 "Balance", 30+GrowthType!$C$2*(EnemyStatus!R9-1),
 "Atype",   30+GrowthType!$C$3*(EnemyStatus!R9-1),
 "Dtype",   30+GrowthType!$C$4*(EnemyStatus!R9-1),
 "Itype",   30+GrowthType!$C$5*(EnemyStatus!R9-1),
 "Stype",   30+GrowthType!$C$6*(EnemyStatus!R9-1))</f>
        <v>33</v>
      </c>
      <c r="L9" s="1" cm="1">
        <f t="array" ref="L9">_xlfn.SWITCH(O9,
 "Balance", 30+GrowthType!$D$2*(EnemyStatus!R9-1),
 "Atype",   30+GrowthType!$D$3*(EnemyStatus!R9-1),
 "Dtype",   30+GrowthType!$D$4*(EnemyStatus!R9-1),
 "Itype",   30+GrowthType!$D$5*(EnemyStatus!R9-1),
 "Stype",   30+GrowthType!$D$6*(EnemyStatus!R9-1))</f>
        <v>33</v>
      </c>
      <c r="M9" s="1" cm="1">
        <f t="array" ref="M9">_xlfn.SWITCH(O9,
 "Balance", 20+GrowthType!$E$2*(EnemyStatus!R9-1),
 "Atype",   20+GrowthType!$E$3*(EnemyStatus!R9-1),
 "Dtype",   20+GrowthType!$E$4*(EnemyStatus!R9-1),
 "Itype",   20+GrowthType!$E$5*(EnemyStatus!R9-1),
 "Stype",   20+GrowthType!$E$6*(EnemyStatus!R9-1))</f>
        <v>22</v>
      </c>
      <c r="N9" s="1" cm="1">
        <f t="array" ref="N9">_xlfn.SWITCH(O9,
 "Balance", 20+GrowthType!$F$2*(EnemyStatus!R9-1),
 "Atype",   20+GrowthType!$F$3*(EnemyStatus!R9-1),
 "Dtype",   20+GrowthType!$F$4*(EnemyStatus!R9-1),
 "Itype",   20+GrowthType!$F$5*(EnemyStatus!R9-1),
 "Stype",   20+GrowthType!$F$6*(EnemyStatus!R9-1))</f>
        <v>22</v>
      </c>
      <c r="O9" s="1" t="s">
        <v>10</v>
      </c>
      <c r="P9" s="1" t="s">
        <v>147</v>
      </c>
      <c r="Q9" s="1">
        <v>-1</v>
      </c>
      <c r="R9" s="1">
        <v>2</v>
      </c>
      <c r="S9" s="1">
        <v>20</v>
      </c>
    </row>
    <row r="10" spans="1:19" x14ac:dyDescent="0.55000000000000004">
      <c r="A10" s="1">
        <v>5009</v>
      </c>
      <c r="B10" s="1" t="s">
        <v>102</v>
      </c>
      <c r="C10" s="2" t="s">
        <v>17</v>
      </c>
      <c r="D10" s="1" t="s">
        <v>22</v>
      </c>
      <c r="E10" s="2" t="s">
        <v>21</v>
      </c>
      <c r="F10" s="1" t="s">
        <v>20</v>
      </c>
      <c r="G10" s="2" t="s">
        <v>56</v>
      </c>
      <c r="H10" s="2" t="s">
        <v>20</v>
      </c>
      <c r="I10" s="2" t="s">
        <v>56</v>
      </c>
      <c r="J10" s="1" cm="1">
        <f t="array" ref="J10">_xlfn.SWITCH(O10,
"Balance",150+GrowthType!$B$2*(EnemyStatus!R10-1),
"Atype",150+GrowthType!$B$3*(EnemyStatus!R10-1),
"Dtype",150+GrowthType!$B$4*(EnemyStatus!R10-1),
"Itype",150+GrowthType!$B$5*(EnemyStatus!R10-1),
"Stype",150+GrowthType!$B$6*(EnemyStatus!R10-1))</f>
        <v>195</v>
      </c>
      <c r="K10" s="1" cm="1">
        <f t="array" ref="K10">_xlfn.SWITCH(O10,
 "Balance", 30+GrowthType!$C$2*(EnemyStatus!R10-1),
 "Atype",   30+GrowthType!$C$3*(EnemyStatus!R10-1),
 "Dtype",   30+GrowthType!$C$4*(EnemyStatus!R10-1),
 "Itype",   30+GrowthType!$C$5*(EnemyStatus!R10-1),
 "Stype",   30+GrowthType!$C$6*(EnemyStatus!R10-1))</f>
        <v>39</v>
      </c>
      <c r="L10" s="1" cm="1">
        <f t="array" ref="L10">_xlfn.SWITCH(O10,
 "Balance", 30+GrowthType!$D$2*(EnemyStatus!R10-1),
 "Atype",   30+GrowthType!$D$3*(EnemyStatus!R10-1),
 "Dtype",   30+GrowthType!$D$4*(EnemyStatus!R10-1),
 "Itype",   30+GrowthType!$D$5*(EnemyStatus!R10-1),
 "Stype",   30+GrowthType!$D$6*(EnemyStatus!R10-1))</f>
        <v>39</v>
      </c>
      <c r="M10" s="1" cm="1">
        <f t="array" ref="M10">_xlfn.SWITCH(O10,
 "Balance", 20+GrowthType!$E$2*(EnemyStatus!R10-1),
 "Atype",   20+GrowthType!$E$3*(EnemyStatus!R10-1),
 "Dtype",   20+GrowthType!$E$4*(EnemyStatus!R10-1),
 "Itype",   20+GrowthType!$E$5*(EnemyStatus!R10-1),
 "Stype",   20+GrowthType!$E$6*(EnemyStatus!R10-1))</f>
        <v>26</v>
      </c>
      <c r="N10" s="1" cm="1">
        <f t="array" ref="N10">_xlfn.SWITCH(O10,
 "Balance", 20+GrowthType!$F$2*(EnemyStatus!R10-1),
 "Atype",   20+GrowthType!$F$3*(EnemyStatus!R10-1),
 "Dtype",   20+GrowthType!$F$4*(EnemyStatus!R10-1),
 "Itype",   20+GrowthType!$F$5*(EnemyStatus!R10-1),
 "Stype",   20+GrowthType!$F$6*(EnemyStatus!R10-1))</f>
        <v>26</v>
      </c>
      <c r="O10" s="1" t="s">
        <v>10</v>
      </c>
      <c r="P10" s="1" t="s">
        <v>147</v>
      </c>
      <c r="Q10" s="1">
        <v>-1</v>
      </c>
      <c r="R10" s="1">
        <v>4</v>
      </c>
      <c r="S10" s="1">
        <v>50</v>
      </c>
    </row>
    <row r="11" spans="1:19" x14ac:dyDescent="0.55000000000000004">
      <c r="A11" s="1">
        <v>5010</v>
      </c>
      <c r="B11" s="1" t="s">
        <v>101</v>
      </c>
      <c r="C11" s="2" t="s">
        <v>12</v>
      </c>
      <c r="D11" s="1" t="s">
        <v>22</v>
      </c>
      <c r="E11" s="2" t="s">
        <v>21</v>
      </c>
      <c r="F11" s="1" t="s">
        <v>20</v>
      </c>
      <c r="G11" s="2" t="s">
        <v>56</v>
      </c>
      <c r="H11" s="2" t="s">
        <v>20</v>
      </c>
      <c r="I11" s="2" t="s">
        <v>56</v>
      </c>
      <c r="J11" s="1" cm="1">
        <f t="array" ref="J11">_xlfn.SWITCH(O11,
"Balance",150+GrowthType!$B$2*(EnemyStatus!R11-1),
"Atype",150+GrowthType!$B$3*(EnemyStatus!R11-1),
"Dtype",150+GrowthType!$B$4*(EnemyStatus!R11-1),
"Itype",150+GrowthType!$B$5*(EnemyStatus!R11-1),
"Stype",150+GrowthType!$B$6*(EnemyStatus!R11-1))</f>
        <v>180</v>
      </c>
      <c r="K11" s="1" cm="1">
        <f t="array" ref="K11">_xlfn.SWITCH(O11,
 "Balance", 30+GrowthType!$C$2*(EnemyStatus!R11-1),
 "Atype",   30+GrowthType!$C$3*(EnemyStatus!R11-1),
 "Dtype",   30+GrowthType!$C$4*(EnemyStatus!R11-1),
 "Itype",   30+GrowthType!$C$5*(EnemyStatus!R11-1),
 "Stype",   30+GrowthType!$C$6*(EnemyStatus!R11-1))</f>
        <v>36</v>
      </c>
      <c r="L11" s="1" cm="1">
        <f t="array" ref="L11">_xlfn.SWITCH(O11,
 "Balance", 30+GrowthType!$D$2*(EnemyStatus!R11-1),
 "Atype",   30+GrowthType!$D$3*(EnemyStatus!R11-1),
 "Dtype",   30+GrowthType!$D$4*(EnemyStatus!R11-1),
 "Itype",   30+GrowthType!$D$5*(EnemyStatus!R11-1),
 "Stype",   30+GrowthType!$D$6*(EnemyStatus!R11-1))</f>
        <v>36</v>
      </c>
      <c r="M11" s="1" cm="1">
        <f t="array" ref="M11">_xlfn.SWITCH(O11,
 "Balance", 20+GrowthType!$E$2*(EnemyStatus!R11-1),
 "Atype",   20+GrowthType!$E$3*(EnemyStatus!R11-1),
 "Dtype",   20+GrowthType!$E$4*(EnemyStatus!R11-1),
 "Itype",   20+GrowthType!$E$5*(EnemyStatus!R11-1),
 "Stype",   20+GrowthType!$E$6*(EnemyStatus!R11-1))</f>
        <v>24</v>
      </c>
      <c r="N11" s="1" cm="1">
        <f t="array" ref="N11">_xlfn.SWITCH(O11,
 "Balance", 20+GrowthType!$F$2*(EnemyStatus!R11-1),
 "Atype",   20+GrowthType!$F$3*(EnemyStatus!R11-1),
 "Dtype",   20+GrowthType!$F$4*(EnemyStatus!R11-1),
 "Itype",   20+GrowthType!$F$5*(EnemyStatus!R11-1),
 "Stype",   20+GrowthType!$F$6*(EnemyStatus!R11-1))</f>
        <v>24</v>
      </c>
      <c r="O11" s="1" t="s">
        <v>10</v>
      </c>
      <c r="P11" s="1" t="s">
        <v>147</v>
      </c>
      <c r="Q11" s="1">
        <v>-1</v>
      </c>
      <c r="R11" s="1">
        <v>3</v>
      </c>
      <c r="S11" s="1">
        <v>30</v>
      </c>
    </row>
    <row r="12" spans="1:19" x14ac:dyDescent="0.55000000000000004">
      <c r="A12" s="3">
        <v>6001</v>
      </c>
      <c r="B12" s="3" t="s">
        <v>104</v>
      </c>
      <c r="C12" s="4" t="s">
        <v>38</v>
      </c>
      <c r="D12" s="3" t="s">
        <v>55</v>
      </c>
      <c r="E12" s="4" t="s">
        <v>54</v>
      </c>
      <c r="F12" s="3" t="s">
        <v>58</v>
      </c>
      <c r="G12" s="4" t="s">
        <v>63</v>
      </c>
      <c r="H12" s="3" t="s">
        <v>73</v>
      </c>
      <c r="I12" s="4" t="s">
        <v>69</v>
      </c>
      <c r="J12" s="3" cm="1">
        <f t="array" ref="J12">PlayerStatus!J12+_xlfn.SWITCH($O12,
"Balance",GrowthType!$B$2*(EnemyStatus!$R12-1),
"Atype",GrowthType!$B$3*(EnemyStatus!$R12-1),
"Dtype",GrowthType!$B$4*(EnemyStatus!$R12-1),
"Itype",GrowthType!$B$5*(EnemyStatus!$R12-1),
"Stype",GrowthType!$B$6*(EnemyStatus!$R12-1))</f>
        <v>380</v>
      </c>
      <c r="K12" s="3" cm="1">
        <f t="array" ref="K12">PlayerStatus!K12+_xlfn.SWITCH($O12,
"Balance",GrowthType!$C$2*(EnemyStatus!$R12-1),
"Atype",GrowthType!$C$3*(EnemyStatus!$R12-1),
"Dtype",GrowthType!$C$4*(EnemyStatus!$R12-1),
"Itype",GrowthType!$C$5*(EnemyStatus!$R12-1),
"Stype",GrowthType!$C$6*(EnemyStatus!$R12-1))</f>
        <v>122</v>
      </c>
      <c r="L12" s="3" cm="1">
        <f t="array" ref="L12">PlayerStatus!L12+_xlfn.SWITCH($O12,
"Balance",GrowthType!$D$2*(EnemyStatus!$R12-1),
"Atype",GrowthType!$D$3*(EnemyStatus!$R12-1),
"Dtype",GrowthType!$D$4*(EnemyStatus!$R12-1),
"Itype",GrowthType!$D$5*(EnemyStatus!$R12-1),
"Stype",GrowthType!$D$6*(EnemyStatus!$R12-1))</f>
        <v>68</v>
      </c>
      <c r="M12" s="3" cm="1">
        <f t="array" ref="M12">PlayerStatus!M12+_xlfn.SWITCH($O12,
"Balance",GrowthType!$E$2*(EnemyStatus!$R12-1),
"Atype",GrowthType!$E$3*(EnemyStatus!$R12-1),
"Dtype",GrowthType!$E$4*(EnemyStatus!$R12-1),
"Itype",GrowthType!$E$5*(EnemyStatus!$R12-1),
"Stype",GrowthType!$E$6*(EnemyStatus!$R12-1))</f>
        <v>34</v>
      </c>
      <c r="N12" s="3" cm="1">
        <f t="array" ref="N12">PlayerStatus!N12+_xlfn.SWITCH($O12,
"Balance",GrowthType!$F$2*(EnemyStatus!$R12-1),
"Atype",GrowthType!$F$3*(EnemyStatus!$R12-1),
"Dtype",GrowthType!$F$4*(EnemyStatus!$R12-1),
"Itype",GrowthType!$F$5*(EnemyStatus!$R12-1),
"Stype",GrowthType!$F$6*(EnemyStatus!$R12-1))</f>
        <v>56</v>
      </c>
      <c r="O12" s="3" t="s">
        <v>6</v>
      </c>
      <c r="P12" s="3" t="s">
        <v>148</v>
      </c>
      <c r="Q12" s="3">
        <v>-1</v>
      </c>
      <c r="R12" s="3">
        <v>9</v>
      </c>
      <c r="S12" s="3">
        <f>20+(R12-1)</f>
        <v>28</v>
      </c>
    </row>
    <row r="13" spans="1:19" x14ac:dyDescent="0.55000000000000004">
      <c r="A13" s="3">
        <v>6002</v>
      </c>
      <c r="B13" s="3" t="s">
        <v>108</v>
      </c>
      <c r="C13" s="4" t="s">
        <v>39</v>
      </c>
      <c r="D13" s="3" t="s">
        <v>55</v>
      </c>
      <c r="E13" s="4" t="s">
        <v>54</v>
      </c>
      <c r="F13" s="3" t="s">
        <v>59</v>
      </c>
      <c r="G13" s="4" t="s">
        <v>64</v>
      </c>
      <c r="H13" s="3" t="s">
        <v>74</v>
      </c>
      <c r="I13" s="4" t="s">
        <v>70</v>
      </c>
      <c r="J13" s="3" cm="1">
        <f t="array" ref="J13">PlayerStatus!J13+_xlfn.SWITCH($O13,
"Balance",GrowthType!$B$2*(EnemyStatus!$R13-1),
"Atype",GrowthType!$B$3*(EnemyStatus!$R13-1),
"Dtype",GrowthType!$B$4*(EnemyStatus!$R13-1),
"Itype",GrowthType!$B$5*(EnemyStatus!$R13-1),
"Stype",GrowthType!$B$6*(EnemyStatus!$R13-1))</f>
        <v>505</v>
      </c>
      <c r="K13" s="3" cm="1">
        <f t="array" ref="K13">PlayerStatus!K13+_xlfn.SWITCH($O13,
"Balance",GrowthType!$C$2*(EnemyStatus!$R13-1),
"Atype",GrowthType!$C$3*(EnemyStatus!$R13-1),
"Dtype",GrowthType!$C$4*(EnemyStatus!$R13-1),
"Itype",GrowthType!$C$5*(EnemyStatus!$R13-1),
"Stype",GrowthType!$C$6*(EnemyStatus!$R13-1))</f>
        <v>68</v>
      </c>
      <c r="L13" s="3" cm="1">
        <f t="array" ref="L13">PlayerStatus!L13+_xlfn.SWITCH($O13,
"Balance",GrowthType!$D$2*(EnemyStatus!$R13-1),
"Atype",GrowthType!$D$3*(EnemyStatus!$R13-1),
"Dtype",GrowthType!$D$4*(EnemyStatus!$R13-1),
"Itype",GrowthType!$D$5*(EnemyStatus!$R13-1),
"Stype",GrowthType!$D$6*(EnemyStatus!$R13-1))</f>
        <v>111</v>
      </c>
      <c r="M13" s="3" cm="1">
        <f t="array" ref="M13">PlayerStatus!M13+_xlfn.SWITCH($O13,
"Balance",GrowthType!$E$2*(EnemyStatus!$R13-1),
"Atype",GrowthType!$E$3*(EnemyStatus!$R13-1),
"Dtype",GrowthType!$E$4*(EnemyStatus!$R13-1),
"Itype",GrowthType!$E$5*(EnemyStatus!$R13-1),
"Stype",GrowthType!$E$6*(EnemyStatus!$R13-1))</f>
        <v>46</v>
      </c>
      <c r="N13" s="3" cm="1">
        <f t="array" ref="N13">PlayerStatus!N13+_xlfn.SWITCH($O13,
"Balance",GrowthType!$F$2*(EnemyStatus!$R13-1),
"Atype",GrowthType!$F$3*(EnemyStatus!$R13-1),
"Dtype",GrowthType!$F$4*(EnemyStatus!$R13-1),
"Itype",GrowthType!$F$5*(EnemyStatus!$R13-1),
"Stype",GrowthType!$F$6*(EnemyStatus!$R13-1))</f>
        <v>45</v>
      </c>
      <c r="O13" s="3" t="s">
        <v>7</v>
      </c>
      <c r="P13" s="3" t="s">
        <v>149</v>
      </c>
      <c r="Q13" s="3">
        <v>-1</v>
      </c>
      <c r="R13" s="3">
        <v>8</v>
      </c>
      <c r="S13" s="3">
        <f t="shared" ref="S13:S29" si="1">20+(R13-1)</f>
        <v>27</v>
      </c>
    </row>
    <row r="14" spans="1:19" x14ac:dyDescent="0.55000000000000004">
      <c r="A14" s="3">
        <v>6003</v>
      </c>
      <c r="B14" s="3" t="s">
        <v>117</v>
      </c>
      <c r="C14" s="4" t="s">
        <v>41</v>
      </c>
      <c r="D14" s="3" t="s">
        <v>55</v>
      </c>
      <c r="E14" s="4" t="s">
        <v>54</v>
      </c>
      <c r="F14" s="3" t="s">
        <v>59</v>
      </c>
      <c r="G14" s="4" t="s">
        <v>64</v>
      </c>
      <c r="H14" s="3" t="s">
        <v>75</v>
      </c>
      <c r="I14" s="4" t="s">
        <v>71</v>
      </c>
      <c r="J14" s="3" cm="1">
        <f t="array" ref="J14">PlayerStatus!J14+_xlfn.SWITCH($O14,
"Balance",GrowthType!$B$2*(EnemyStatus!$R14-1),
"Atype",GrowthType!$B$3*(EnemyStatus!$R14-1),
"Dtype",GrowthType!$B$4*(EnemyStatus!$R14-1),
"Itype",GrowthType!$B$5*(EnemyStatus!$R14-1),
"Stype",GrowthType!$B$6*(EnemyStatus!$R14-1))</f>
        <v>300</v>
      </c>
      <c r="K14" s="3" cm="1">
        <f t="array" ref="K14">PlayerStatus!K14+_xlfn.SWITCH($O14,
"Balance",GrowthType!$C$2*(EnemyStatus!$R14-1),
"Atype",GrowthType!$C$3*(EnemyStatus!$R14-1),
"Dtype",GrowthType!$C$4*(EnemyStatus!$R14-1),
"Itype",GrowthType!$C$5*(EnemyStatus!$R14-1),
"Stype",GrowthType!$C$6*(EnemyStatus!$R14-1))</f>
        <v>55</v>
      </c>
      <c r="L14" s="3" cm="1">
        <f t="array" ref="L14">PlayerStatus!L14+_xlfn.SWITCH($O14,
"Balance",GrowthType!$D$2*(EnemyStatus!$R14-1),
"Atype",GrowthType!$D$3*(EnemyStatus!$R14-1),
"Dtype",GrowthType!$D$4*(EnemyStatus!$R14-1),
"Itype",GrowthType!$D$5*(EnemyStatus!$R14-1),
"Stype",GrowthType!$D$6*(EnemyStatus!$R14-1))</f>
        <v>62</v>
      </c>
      <c r="M14" s="3" cm="1">
        <f t="array" ref="M14">PlayerStatus!M14+_xlfn.SWITCH($O14,
"Balance",GrowthType!$E$2*(EnemyStatus!$R14-1),
"Atype",GrowthType!$E$3*(EnemyStatus!$R14-1),
"Dtype",GrowthType!$E$4*(EnemyStatus!$R14-1),
"Itype",GrowthType!$E$5*(EnemyStatus!$R14-1),
"Stype",GrowthType!$E$6*(EnemyStatus!$R14-1))</f>
        <v>83</v>
      </c>
      <c r="N14" s="3" cm="1">
        <f t="array" ref="N14">PlayerStatus!N14+_xlfn.SWITCH($O14,
"Balance",GrowthType!$F$2*(EnemyStatus!$R14-1),
"Atype",GrowthType!$F$3*(EnemyStatus!$R14-1),
"Dtype",GrowthType!$F$4*(EnemyStatus!$R14-1),
"Itype",GrowthType!$F$5*(EnemyStatus!$R14-1),
"Stype",GrowthType!$F$6*(EnemyStatus!$R14-1))</f>
        <v>50</v>
      </c>
      <c r="O14" s="3" t="s">
        <v>8</v>
      </c>
      <c r="P14" s="3" t="s">
        <v>150</v>
      </c>
      <c r="Q14" s="3">
        <v>-1</v>
      </c>
      <c r="R14" s="3">
        <v>6</v>
      </c>
      <c r="S14" s="3">
        <f t="shared" si="1"/>
        <v>25</v>
      </c>
    </row>
    <row r="15" spans="1:19" x14ac:dyDescent="0.55000000000000004">
      <c r="A15" s="3">
        <v>6004</v>
      </c>
      <c r="B15" s="3" t="s">
        <v>119</v>
      </c>
      <c r="C15" s="4" t="s">
        <v>44</v>
      </c>
      <c r="D15" s="3" t="s">
        <v>55</v>
      </c>
      <c r="E15" s="4" t="s">
        <v>54</v>
      </c>
      <c r="F15" s="3" t="s">
        <v>58</v>
      </c>
      <c r="G15" s="4" t="s">
        <v>63</v>
      </c>
      <c r="H15" s="3" t="s">
        <v>75</v>
      </c>
      <c r="I15" s="4" t="s">
        <v>71</v>
      </c>
      <c r="J15" s="3" cm="1">
        <f t="array" ref="J15">PlayerStatus!J15+_xlfn.SWITCH($O15,
"Balance",GrowthType!$B$2*(EnemyStatus!$R15-1),
"Atype",GrowthType!$B$3*(EnemyStatus!$R15-1),
"Dtype",GrowthType!$B$4*(EnemyStatus!$R15-1),
"Itype",GrowthType!$B$5*(EnemyStatus!$R15-1),
"Stype",GrowthType!$B$6*(EnemyStatus!$R15-1))</f>
        <v>310</v>
      </c>
      <c r="K15" s="3" cm="1">
        <f t="array" ref="K15">PlayerStatus!K15+_xlfn.SWITCH($O15,
"Balance",GrowthType!$C$2*(EnemyStatus!$R15-1),
"Atype",GrowthType!$C$3*(EnemyStatus!$R15-1),
"Dtype",GrowthType!$C$4*(EnemyStatus!$R15-1),
"Itype",GrowthType!$C$5*(EnemyStatus!$R15-1),
"Stype",GrowthType!$C$6*(EnemyStatus!$R15-1))</f>
        <v>58</v>
      </c>
      <c r="L15" s="3" cm="1">
        <f t="array" ref="L15">PlayerStatus!L15+_xlfn.SWITCH($O15,
"Balance",GrowthType!$D$2*(EnemyStatus!$R15-1),
"Atype",GrowthType!$D$3*(EnemyStatus!$R15-1),
"Dtype",GrowthType!$D$4*(EnemyStatus!$R15-1),
"Itype",GrowthType!$D$5*(EnemyStatus!$R15-1),
"Stype",GrowthType!$D$6*(EnemyStatus!$R15-1))</f>
        <v>62</v>
      </c>
      <c r="M15" s="3" cm="1">
        <f t="array" ref="M15">PlayerStatus!M15+_xlfn.SWITCH($O15,
"Balance",GrowthType!$E$2*(EnemyStatus!$R15-1),
"Atype",GrowthType!$E$3*(EnemyStatus!$R15-1),
"Dtype",GrowthType!$E$4*(EnemyStatus!$R15-1),
"Itype",GrowthType!$E$5*(EnemyStatus!$R15-1),
"Stype",GrowthType!$E$6*(EnemyStatus!$R15-1))</f>
        <v>88</v>
      </c>
      <c r="N15" s="3" cm="1">
        <f t="array" ref="N15">PlayerStatus!N15+_xlfn.SWITCH($O15,
"Balance",GrowthType!$F$2*(EnemyStatus!$R15-1),
"Atype",GrowthType!$F$3*(EnemyStatus!$R15-1),
"Dtype",GrowthType!$F$4*(EnemyStatus!$R15-1),
"Itype",GrowthType!$F$5*(EnemyStatus!$R15-1),
"Stype",GrowthType!$F$6*(EnemyStatus!$R15-1))</f>
        <v>52</v>
      </c>
      <c r="O15" s="3" t="s">
        <v>8</v>
      </c>
      <c r="P15" s="3" t="s">
        <v>150</v>
      </c>
      <c r="Q15" s="3">
        <v>-1</v>
      </c>
      <c r="R15" s="3">
        <v>7</v>
      </c>
      <c r="S15" s="3">
        <f t="shared" si="1"/>
        <v>26</v>
      </c>
    </row>
    <row r="16" spans="1:19" x14ac:dyDescent="0.55000000000000004">
      <c r="A16" s="3">
        <v>6005</v>
      </c>
      <c r="B16" s="3" t="s">
        <v>105</v>
      </c>
      <c r="C16" s="4" t="s">
        <v>49</v>
      </c>
      <c r="D16" s="3" t="s">
        <v>55</v>
      </c>
      <c r="E16" s="4" t="s">
        <v>54</v>
      </c>
      <c r="F16" s="3" t="s">
        <v>58</v>
      </c>
      <c r="G16" s="4" t="s">
        <v>63</v>
      </c>
      <c r="H16" s="3" t="s">
        <v>76</v>
      </c>
      <c r="I16" s="4" t="s">
        <v>72</v>
      </c>
      <c r="J16" s="3" cm="1">
        <f t="array" ref="J16">PlayerStatus!J16+_xlfn.SWITCH($O16,
"Balance",GrowthType!$B$2*(EnemyStatus!$R16-1),
"Atype",GrowthType!$B$3*(EnemyStatus!$R16-1),
"Dtype",GrowthType!$B$4*(EnemyStatus!$R16-1),
"Itype",GrowthType!$B$5*(EnemyStatus!$R16-1),
"Stype",GrowthType!$B$6*(EnemyStatus!$R16-1))</f>
        <v>305</v>
      </c>
      <c r="K16" s="3" cm="1">
        <f t="array" ref="K16">PlayerStatus!K16+_xlfn.SWITCH($O16,
"Balance",GrowthType!$C$2*(EnemyStatus!$R16-1),
"Atype",GrowthType!$C$3*(EnemyStatus!$R16-1),
"Dtype",GrowthType!$C$4*(EnemyStatus!$R16-1),
"Itype",GrowthType!$C$5*(EnemyStatus!$R16-1),
"Stype",GrowthType!$C$6*(EnemyStatus!$R16-1))</f>
        <v>70</v>
      </c>
      <c r="L16" s="3" cm="1">
        <f t="array" ref="L16">PlayerStatus!L16+_xlfn.SWITCH($O16,
"Balance",GrowthType!$D$2*(EnemyStatus!$R16-1),
"Atype",GrowthType!$D$3*(EnemyStatus!$R16-1),
"Dtype",GrowthType!$D$4*(EnemyStatus!$R16-1),
"Itype",GrowthType!$D$5*(EnemyStatus!$R16-1),
"Stype",GrowthType!$D$6*(EnemyStatus!$R16-1))</f>
        <v>55</v>
      </c>
      <c r="M16" s="3" cm="1">
        <f t="array" ref="M16">PlayerStatus!M16+_xlfn.SWITCH($O16,
"Balance",GrowthType!$E$2*(EnemyStatus!$R16-1),
"Atype",GrowthType!$E$3*(EnemyStatus!$R16-1),
"Dtype",GrowthType!$E$4*(EnemyStatus!$R16-1),
"Itype",GrowthType!$E$5*(EnemyStatus!$R16-1),
"Stype",GrowthType!$E$6*(EnemyStatus!$R16-1))</f>
        <v>50</v>
      </c>
      <c r="N16" s="3" cm="1">
        <f t="array" ref="N16">PlayerStatus!N16+_xlfn.SWITCH($O16,
"Balance",GrowthType!$F$2*(EnemyStatus!$R16-1),
"Atype",GrowthType!$F$3*(EnemyStatus!$R16-1),
"Dtype",GrowthType!$F$4*(EnemyStatus!$R16-1),
"Itype",GrowthType!$F$5*(EnemyStatus!$R16-1),
"Stype",GrowthType!$F$6*(EnemyStatus!$R16-1))</f>
        <v>95</v>
      </c>
      <c r="O16" s="3" t="s">
        <v>9</v>
      </c>
      <c r="P16" s="3" t="s">
        <v>151</v>
      </c>
      <c r="Q16" s="3">
        <v>-1</v>
      </c>
      <c r="R16" s="3">
        <v>8</v>
      </c>
      <c r="S16" s="3">
        <f t="shared" si="1"/>
        <v>27</v>
      </c>
    </row>
    <row r="17" spans="1:19" x14ac:dyDescent="0.55000000000000004">
      <c r="A17" s="3">
        <v>6006</v>
      </c>
      <c r="B17" s="3" t="s">
        <v>120</v>
      </c>
      <c r="C17" s="4" t="s">
        <v>47</v>
      </c>
      <c r="D17" s="3" t="s">
        <v>55</v>
      </c>
      <c r="E17" s="4" t="s">
        <v>54</v>
      </c>
      <c r="F17" s="3" t="s">
        <v>58</v>
      </c>
      <c r="G17" s="4" t="s">
        <v>63</v>
      </c>
      <c r="H17" s="3" t="s">
        <v>76</v>
      </c>
      <c r="I17" s="4" t="s">
        <v>72</v>
      </c>
      <c r="J17" s="3" cm="1">
        <f t="array" ref="J17">PlayerStatus!J17+_xlfn.SWITCH($O17,
"Balance",GrowthType!$B$2*(EnemyStatus!$R17-1),
"Atype",GrowthType!$B$3*(EnemyStatus!$R17-1),
"Dtype",GrowthType!$B$4*(EnemyStatus!$R17-1),
"Itype",GrowthType!$B$5*(EnemyStatus!$R17-1),
"Stype",GrowthType!$B$6*(EnemyStatus!$R17-1))</f>
        <v>295</v>
      </c>
      <c r="K17" s="3" cm="1">
        <f t="array" ref="K17">PlayerStatus!K17+_xlfn.SWITCH($O17,
"Balance",GrowthType!$C$2*(EnemyStatus!$R17-1),
"Atype",GrowthType!$C$3*(EnemyStatus!$R17-1),
"Dtype",GrowthType!$C$4*(EnemyStatus!$R17-1),
"Itype",GrowthType!$C$5*(EnemyStatus!$R17-1),
"Stype",GrowthType!$C$6*(EnemyStatus!$R17-1))</f>
        <v>58</v>
      </c>
      <c r="L17" s="3" cm="1">
        <f t="array" ref="L17">PlayerStatus!L17+_xlfn.SWITCH($O17,
"Balance",GrowthType!$D$2*(EnemyStatus!$R17-1),
"Atype",GrowthType!$D$3*(EnemyStatus!$R17-1),
"Dtype",GrowthType!$D$4*(EnemyStatus!$R17-1),
"Itype",GrowthType!$D$5*(EnemyStatus!$R17-1),
"Stype",GrowthType!$D$6*(EnemyStatus!$R17-1))</f>
        <v>61</v>
      </c>
      <c r="M17" s="3" cm="1">
        <f t="array" ref="M17">PlayerStatus!M17+_xlfn.SWITCH($O17,
"Balance",GrowthType!$E$2*(EnemyStatus!$R17-1),
"Atype",GrowthType!$E$3*(EnemyStatus!$R17-1),
"Dtype",GrowthType!$E$4*(EnemyStatus!$R17-1),
"Itype",GrowthType!$E$5*(EnemyStatus!$R17-1),
"Stype",GrowthType!$E$6*(EnemyStatus!$R17-1))</f>
        <v>46</v>
      </c>
      <c r="N17" s="3" cm="1">
        <f t="array" ref="N17">PlayerStatus!N17+_xlfn.SWITCH($O17,
"Balance",GrowthType!$F$2*(EnemyStatus!$R17-1),
"Atype",GrowthType!$F$3*(EnemyStatus!$R17-1),
"Dtype",GrowthType!$F$4*(EnemyStatus!$R17-1),
"Itype",GrowthType!$F$5*(EnemyStatus!$R17-1),
"Stype",GrowthType!$F$6*(EnemyStatus!$R17-1))</f>
        <v>85</v>
      </c>
      <c r="O17" s="3" t="s">
        <v>9</v>
      </c>
      <c r="P17" s="3" t="s">
        <v>151</v>
      </c>
      <c r="Q17" s="3">
        <v>-1</v>
      </c>
      <c r="R17" s="3">
        <v>6</v>
      </c>
      <c r="S17" s="3">
        <f t="shared" si="1"/>
        <v>25</v>
      </c>
    </row>
    <row r="18" spans="1:19" x14ac:dyDescent="0.55000000000000004">
      <c r="A18" s="3">
        <v>6007</v>
      </c>
      <c r="B18" s="3" t="s">
        <v>116</v>
      </c>
      <c r="C18" s="4" t="s">
        <v>48</v>
      </c>
      <c r="D18" s="3" t="s">
        <v>55</v>
      </c>
      <c r="E18" s="4" t="s">
        <v>54</v>
      </c>
      <c r="F18" s="3" t="s">
        <v>59</v>
      </c>
      <c r="G18" s="4" t="s">
        <v>64</v>
      </c>
      <c r="H18" s="3" t="s">
        <v>74</v>
      </c>
      <c r="I18" s="4" t="s">
        <v>70</v>
      </c>
      <c r="J18" s="3" cm="1">
        <f t="array" ref="J18">PlayerStatus!J18+_xlfn.SWITCH($O18,
"Balance",GrowthType!$B$2*(EnemyStatus!$R18-1),
"Atype",GrowthType!$B$3*(EnemyStatus!$R18-1),
"Dtype",GrowthType!$B$4*(EnemyStatus!$R18-1),
"Itype",GrowthType!$B$5*(EnemyStatus!$R18-1),
"Stype",GrowthType!$B$6*(EnemyStatus!$R18-1))</f>
        <v>480</v>
      </c>
      <c r="K18" s="3" cm="1">
        <f t="array" ref="K18">PlayerStatus!K18+_xlfn.SWITCH($O18,
"Balance",GrowthType!$C$2*(EnemyStatus!$R18-1),
"Atype",GrowthType!$C$3*(EnemyStatus!$R18-1),
"Dtype",GrowthType!$C$4*(EnemyStatus!$R18-1),
"Itype",GrowthType!$C$5*(EnemyStatus!$R18-1),
"Stype",GrowthType!$C$6*(EnemyStatus!$R18-1))</f>
        <v>64</v>
      </c>
      <c r="L18" s="3" cm="1">
        <f t="array" ref="L18">PlayerStatus!L18+_xlfn.SWITCH($O18,
"Balance",GrowthType!$D$2*(EnemyStatus!$R18-1),
"Atype",GrowthType!$D$3*(EnemyStatus!$R18-1),
"Dtype",GrowthType!$D$4*(EnemyStatus!$R18-1),
"Itype",GrowthType!$D$5*(EnemyStatus!$R18-1),
"Stype",GrowthType!$D$6*(EnemyStatus!$R18-1))</f>
        <v>110</v>
      </c>
      <c r="M18" s="3" cm="1">
        <f t="array" ref="M18">PlayerStatus!M18+_xlfn.SWITCH($O18,
"Balance",GrowthType!$E$2*(EnemyStatus!$R18-1),
"Atype",GrowthType!$E$3*(EnemyStatus!$R18-1),
"Dtype",GrowthType!$E$4*(EnemyStatus!$R18-1),
"Itype",GrowthType!$E$5*(EnemyStatus!$R18-1),
"Stype",GrowthType!$E$6*(EnemyStatus!$R18-1))</f>
        <v>42</v>
      </c>
      <c r="N18" s="3" cm="1">
        <f t="array" ref="N18">PlayerStatus!N18+_xlfn.SWITCH($O18,
"Balance",GrowthType!$F$2*(EnemyStatus!$R18-1),
"Atype",GrowthType!$F$3*(EnemyStatus!$R18-1),
"Dtype",GrowthType!$F$4*(EnemyStatus!$R18-1),
"Itype",GrowthType!$F$5*(EnemyStatus!$R18-1),
"Stype",GrowthType!$F$6*(EnemyStatus!$R18-1))</f>
        <v>44</v>
      </c>
      <c r="O18" s="3" t="s">
        <v>7</v>
      </c>
      <c r="P18" s="3" t="s">
        <v>149</v>
      </c>
      <c r="Q18" s="3">
        <v>-1</v>
      </c>
      <c r="R18" s="3">
        <v>7</v>
      </c>
      <c r="S18" s="3">
        <f t="shared" si="1"/>
        <v>26</v>
      </c>
    </row>
    <row r="19" spans="1:19" x14ac:dyDescent="0.55000000000000004">
      <c r="A19" s="3">
        <v>6008</v>
      </c>
      <c r="B19" s="3" t="s">
        <v>110</v>
      </c>
      <c r="C19" s="4" t="s">
        <v>50</v>
      </c>
      <c r="D19" s="3" t="s">
        <v>55</v>
      </c>
      <c r="E19" s="4" t="s">
        <v>54</v>
      </c>
      <c r="F19" s="3" t="s">
        <v>58</v>
      </c>
      <c r="G19" s="4" t="s">
        <v>63</v>
      </c>
      <c r="H19" s="3" t="s">
        <v>74</v>
      </c>
      <c r="I19" s="4" t="s">
        <v>70</v>
      </c>
      <c r="J19" s="3" cm="1">
        <f t="array" ref="J19">PlayerStatus!J19+_xlfn.SWITCH($O19,
"Balance",GrowthType!$B$2*(EnemyStatus!$R19-1),
"Atype",GrowthType!$B$3*(EnemyStatus!$R19-1),
"Dtype",GrowthType!$B$4*(EnemyStatus!$R19-1),
"Itype",GrowthType!$B$5*(EnemyStatus!$R19-1),
"Stype",GrowthType!$B$6*(EnemyStatus!$R19-1))</f>
        <v>430</v>
      </c>
      <c r="K19" s="3" cm="1">
        <f t="array" ref="K19">PlayerStatus!K19+_xlfn.SWITCH($O19,
"Balance",GrowthType!$C$2*(EnemyStatus!$R19-1),
"Atype",GrowthType!$C$3*(EnemyStatus!$R19-1),
"Dtype",GrowthType!$C$4*(EnemyStatus!$R19-1),
"Itype",GrowthType!$C$5*(EnemyStatus!$R19-1),
"Stype",GrowthType!$C$6*(EnemyStatus!$R19-1))</f>
        <v>60</v>
      </c>
      <c r="L19" s="3" cm="1">
        <f t="array" ref="L19">PlayerStatus!L19+_xlfn.SWITCH($O19,
"Balance",GrowthType!$D$2*(EnemyStatus!$R19-1),
"Atype",GrowthType!$D$3*(EnemyStatus!$R19-1),
"Dtype",GrowthType!$D$4*(EnemyStatus!$R19-1),
"Itype",GrowthType!$D$5*(EnemyStatus!$R19-1),
"Stype",GrowthType!$D$6*(EnemyStatus!$R19-1))</f>
        <v>94</v>
      </c>
      <c r="M19" s="3" cm="1">
        <f t="array" ref="M19">PlayerStatus!M19+_xlfn.SWITCH($O19,
"Balance",GrowthType!$E$2*(EnemyStatus!$R19-1),
"Atype",GrowthType!$E$3*(EnemyStatus!$R19-1),
"Dtype",GrowthType!$E$4*(EnemyStatus!$R19-1),
"Itype",GrowthType!$E$5*(EnemyStatus!$R19-1),
"Stype",GrowthType!$E$6*(EnemyStatus!$R19-1))</f>
        <v>40</v>
      </c>
      <c r="N19" s="3" cm="1">
        <f t="array" ref="N19">PlayerStatus!N19+_xlfn.SWITCH($O19,
"Balance",GrowthType!$F$2*(EnemyStatus!$R19-1),
"Atype",GrowthType!$F$3*(EnemyStatus!$R19-1),
"Dtype",GrowthType!$F$4*(EnemyStatus!$R19-1),
"Itype",GrowthType!$F$5*(EnemyStatus!$R19-1),
"Stype",GrowthType!$F$6*(EnemyStatus!$R19-1))</f>
        <v>46</v>
      </c>
      <c r="O19" s="3" t="s">
        <v>7</v>
      </c>
      <c r="P19" s="3" t="s">
        <v>149</v>
      </c>
      <c r="Q19" s="3">
        <v>-1</v>
      </c>
      <c r="R19" s="3">
        <v>5</v>
      </c>
      <c r="S19" s="3">
        <f t="shared" si="1"/>
        <v>24</v>
      </c>
    </row>
    <row r="20" spans="1:19" x14ac:dyDescent="0.55000000000000004">
      <c r="A20" s="3">
        <v>6009</v>
      </c>
      <c r="B20" s="3" t="s">
        <v>113</v>
      </c>
      <c r="C20" s="4" t="s">
        <v>52</v>
      </c>
      <c r="D20" s="3" t="s">
        <v>55</v>
      </c>
      <c r="E20" s="4" t="s">
        <v>54</v>
      </c>
      <c r="F20" s="3" t="s">
        <v>60</v>
      </c>
      <c r="G20" s="4" t="s">
        <v>65</v>
      </c>
      <c r="H20" s="3" t="s">
        <v>75</v>
      </c>
      <c r="I20" s="4" t="s">
        <v>71</v>
      </c>
      <c r="J20" s="3" cm="1">
        <f t="array" ref="J20">PlayerStatus!J20+_xlfn.SWITCH($O20,
"Balance",GrowthType!$B$2*(EnemyStatus!$R20-1),
"Atype",GrowthType!$B$3*(EnemyStatus!$R20-1),
"Dtype",GrowthType!$B$4*(EnemyStatus!$R20-1),
"Itype",GrowthType!$B$5*(EnemyStatus!$R20-1),
"Stype",GrowthType!$B$6*(EnemyStatus!$R20-1))</f>
        <v>430</v>
      </c>
      <c r="K20" s="3" cm="1">
        <f t="array" ref="K20">PlayerStatus!K20+_xlfn.SWITCH($O20,
"Balance",GrowthType!$C$2*(EnemyStatus!$R20-1),
"Atype",GrowthType!$C$3*(EnemyStatus!$R20-1),
"Dtype",GrowthType!$C$4*(EnemyStatus!$R20-1),
"Itype",GrowthType!$C$5*(EnemyStatus!$R20-1),
"Stype",GrowthType!$C$6*(EnemyStatus!$R20-1))</f>
        <v>70</v>
      </c>
      <c r="L20" s="3" cm="1">
        <f t="array" ref="L20">PlayerStatus!L20+_xlfn.SWITCH($O20,
"Balance",GrowthType!$D$2*(EnemyStatus!$R20-1),
"Atype",GrowthType!$D$3*(EnemyStatus!$R20-1),
"Dtype",GrowthType!$D$4*(EnemyStatus!$R20-1),
"Itype",GrowthType!$D$5*(EnemyStatus!$R20-1),
"Stype",GrowthType!$D$6*(EnemyStatus!$R20-1))</f>
        <v>80</v>
      </c>
      <c r="M20" s="3" cm="1">
        <f t="array" ref="M20">PlayerStatus!M20+_xlfn.SWITCH($O20,
"Balance",GrowthType!$E$2*(EnemyStatus!$R20-1),
"Atype",GrowthType!$E$3*(EnemyStatus!$R20-1),
"Dtype",GrowthType!$E$4*(EnemyStatus!$R20-1),
"Itype",GrowthType!$E$5*(EnemyStatus!$R20-1),
"Stype",GrowthType!$E$6*(EnemyStatus!$R20-1))</f>
        <v>100</v>
      </c>
      <c r="N20" s="3" cm="1">
        <f t="array" ref="N20">PlayerStatus!N20+_xlfn.SWITCH($O20,
"Balance",GrowthType!$F$2*(EnemyStatus!$R20-1),
"Atype",GrowthType!$F$3*(EnemyStatus!$R20-1),
"Dtype",GrowthType!$F$4*(EnemyStatus!$R20-1),
"Itype",GrowthType!$F$5*(EnemyStatus!$R20-1),
"Stype",GrowthType!$F$6*(EnemyStatus!$R20-1))</f>
        <v>55</v>
      </c>
      <c r="O20" s="3" t="s">
        <v>8</v>
      </c>
      <c r="P20" s="3" t="s">
        <v>150</v>
      </c>
      <c r="Q20" s="3">
        <v>-1</v>
      </c>
      <c r="R20" s="3">
        <v>11</v>
      </c>
      <c r="S20" s="3">
        <v>500</v>
      </c>
    </row>
    <row r="21" spans="1:19" x14ac:dyDescent="0.55000000000000004">
      <c r="A21" s="3">
        <v>6010</v>
      </c>
      <c r="B21" s="3" t="s">
        <v>109</v>
      </c>
      <c r="C21" s="4" t="s">
        <v>51</v>
      </c>
      <c r="D21" s="3" t="s">
        <v>55</v>
      </c>
      <c r="E21" s="4" t="s">
        <v>54</v>
      </c>
      <c r="F21" s="3" t="s">
        <v>61</v>
      </c>
      <c r="G21" s="4" t="s">
        <v>66</v>
      </c>
      <c r="H21" s="3" t="s">
        <v>73</v>
      </c>
      <c r="I21" s="4" t="s">
        <v>69</v>
      </c>
      <c r="J21" s="3" cm="1">
        <f t="array" ref="J21">PlayerStatus!J21+_xlfn.SWITCH($O21,
"Balance",GrowthType!$B$2*(EnemyStatus!$R21-1),
"Atype",GrowthType!$B$3*(EnemyStatus!$R21-1),
"Dtype",GrowthType!$B$4*(EnemyStatus!$R21-1),
"Itype",GrowthType!$B$5*(EnemyStatus!$R21-1),
"Stype",GrowthType!$B$6*(EnemyStatus!$R21-1))</f>
        <v>390</v>
      </c>
      <c r="K21" s="3" cm="1">
        <f t="array" ref="K21">PlayerStatus!K21+_xlfn.SWITCH($O21,
"Balance",GrowthType!$C$2*(EnemyStatus!$R21-1),
"Atype",GrowthType!$C$3*(EnemyStatus!$R21-1),
"Dtype",GrowthType!$C$4*(EnemyStatus!$R21-1),
"Itype",GrowthType!$C$5*(EnemyStatus!$R21-1),
"Stype",GrowthType!$C$6*(EnemyStatus!$R21-1))</f>
        <v>119</v>
      </c>
      <c r="L21" s="3" cm="1">
        <f t="array" ref="L21">PlayerStatus!L21+_xlfn.SWITCH($O21,
"Balance",GrowthType!$D$2*(EnemyStatus!$R21-1),
"Atype",GrowthType!$D$3*(EnemyStatus!$R21-1),
"Dtype",GrowthType!$D$4*(EnemyStatus!$R21-1),
"Itype",GrowthType!$D$5*(EnemyStatus!$R21-1),
"Stype",GrowthType!$D$6*(EnemyStatus!$R21-1))</f>
        <v>74</v>
      </c>
      <c r="M21" s="3" cm="1">
        <f t="array" ref="M21">PlayerStatus!M21+_xlfn.SWITCH($O21,
"Balance",GrowthType!$E$2*(EnemyStatus!$R21-1),
"Atype",GrowthType!$E$3*(EnemyStatus!$R21-1),
"Dtype",GrowthType!$E$4*(EnemyStatus!$R21-1),
"Itype",GrowthType!$E$5*(EnemyStatus!$R21-1),
"Stype",GrowthType!$E$6*(EnemyStatus!$R21-1))</f>
        <v>39</v>
      </c>
      <c r="N21" s="3" cm="1">
        <f t="array" ref="N21">PlayerStatus!N21+_xlfn.SWITCH($O21,
"Balance",GrowthType!$F$2*(EnemyStatus!$R21-1),
"Atype",GrowthType!$F$3*(EnemyStatus!$R21-1),
"Dtype",GrowthType!$F$4*(EnemyStatus!$R21-1),
"Itype",GrowthType!$F$5*(EnemyStatus!$R21-1),
"Stype",GrowthType!$F$6*(EnemyStatus!$R21-1))</f>
        <v>58</v>
      </c>
      <c r="O21" s="3" t="s">
        <v>6</v>
      </c>
      <c r="P21" s="3" t="s">
        <v>148</v>
      </c>
      <c r="Q21" s="3">
        <v>-1</v>
      </c>
      <c r="R21" s="3">
        <v>10</v>
      </c>
      <c r="S21" s="3">
        <f t="shared" si="1"/>
        <v>29</v>
      </c>
    </row>
    <row r="22" spans="1:19" x14ac:dyDescent="0.55000000000000004">
      <c r="A22" s="3">
        <v>6011</v>
      </c>
      <c r="B22" s="3" t="s">
        <v>106</v>
      </c>
      <c r="C22" s="4" t="s">
        <v>43</v>
      </c>
      <c r="D22" s="3" t="s">
        <v>55</v>
      </c>
      <c r="E22" s="4" t="s">
        <v>54</v>
      </c>
      <c r="F22" s="3" t="s">
        <v>61</v>
      </c>
      <c r="G22" s="4" t="s">
        <v>66</v>
      </c>
      <c r="H22" s="3" t="s">
        <v>76</v>
      </c>
      <c r="I22" s="4" t="s">
        <v>72</v>
      </c>
      <c r="J22" s="3" cm="1">
        <f t="array" ref="J22">PlayerStatus!J22+_xlfn.SWITCH($O22,
"Balance",GrowthType!$B$2*(EnemyStatus!$R22-1),
"Atype",GrowthType!$B$3*(EnemyStatus!$R22-1),
"Dtype",GrowthType!$B$4*(EnemyStatus!$R22-1),
"Itype",GrowthType!$B$5*(EnemyStatus!$R22-1),
"Stype",GrowthType!$B$6*(EnemyStatus!$R22-1))</f>
        <v>325</v>
      </c>
      <c r="K22" s="3" cm="1">
        <f t="array" ref="K22">PlayerStatus!K22+_xlfn.SWITCH($O22,
"Balance",GrowthType!$C$2*(EnemyStatus!$R22-1),
"Atype",GrowthType!$C$3*(EnemyStatus!$R22-1),
"Dtype",GrowthType!$C$4*(EnemyStatus!$R22-1),
"Itype",GrowthType!$C$5*(EnemyStatus!$R22-1),
"Stype",GrowthType!$C$6*(EnemyStatus!$R22-1))</f>
        <v>76</v>
      </c>
      <c r="L22" s="3" cm="1">
        <f t="array" ref="L22">PlayerStatus!L22+_xlfn.SWITCH($O22,
"Balance",GrowthType!$D$2*(EnemyStatus!$R22-1),
"Atype",GrowthType!$D$3*(EnemyStatus!$R22-1),
"Dtype",GrowthType!$D$4*(EnemyStatus!$R22-1),
"Itype",GrowthType!$D$5*(EnemyStatus!$R22-1),
"Stype",GrowthType!$D$6*(EnemyStatus!$R22-1))</f>
        <v>53</v>
      </c>
      <c r="M22" s="3" cm="1">
        <f t="array" ref="M22">PlayerStatus!M22+_xlfn.SWITCH($O22,
"Balance",GrowthType!$E$2*(EnemyStatus!$R22-1),
"Atype",GrowthType!$E$3*(EnemyStatus!$R22-1),
"Dtype",GrowthType!$E$4*(EnemyStatus!$R22-1),
"Itype",GrowthType!$E$5*(EnemyStatus!$R22-1),
"Stype",GrowthType!$E$6*(EnemyStatus!$R22-1))</f>
        <v>66</v>
      </c>
      <c r="N22" s="3" cm="1">
        <f t="array" ref="N22">PlayerStatus!N22+_xlfn.SWITCH($O22,
"Balance",GrowthType!$F$2*(EnemyStatus!$R22-1),
"Atype",GrowthType!$F$3*(EnemyStatus!$R22-1),
"Dtype",GrowthType!$F$4*(EnemyStatus!$R22-1),
"Itype",GrowthType!$F$5*(EnemyStatus!$R22-1),
"Stype",GrowthType!$F$6*(EnemyStatus!$R22-1))</f>
        <v>115</v>
      </c>
      <c r="O22" s="3" t="s">
        <v>9</v>
      </c>
      <c r="P22" s="3" t="s">
        <v>151</v>
      </c>
      <c r="Q22" s="3">
        <v>-1</v>
      </c>
      <c r="R22" s="3">
        <v>12</v>
      </c>
      <c r="S22" s="3">
        <f t="shared" si="1"/>
        <v>31</v>
      </c>
    </row>
    <row r="23" spans="1:19" x14ac:dyDescent="0.55000000000000004">
      <c r="A23" s="3">
        <v>6012</v>
      </c>
      <c r="B23" s="3" t="s">
        <v>122</v>
      </c>
      <c r="C23" s="4" t="s">
        <v>35</v>
      </c>
      <c r="D23" s="3" t="s">
        <v>55</v>
      </c>
      <c r="E23" s="4" t="s">
        <v>54</v>
      </c>
      <c r="F23" s="3" t="s">
        <v>62</v>
      </c>
      <c r="G23" s="4" t="s">
        <v>67</v>
      </c>
      <c r="H23" s="3" t="s">
        <v>73</v>
      </c>
      <c r="I23" s="4" t="s">
        <v>69</v>
      </c>
      <c r="J23" s="3" cm="1">
        <f t="array" ref="J23">PlayerStatus!J23+_xlfn.SWITCH($O23,
"Balance",GrowthType!$B$2*(EnemyStatus!$R23-1),
"Atype",GrowthType!$B$3*(EnemyStatus!$R23-1),
"Dtype",GrowthType!$B$4*(EnemyStatus!$R23-1),
"Itype",GrowthType!$B$5*(EnemyStatus!$R23-1),
"Stype",GrowthType!$B$6*(EnemyStatus!$R23-1))</f>
        <v>420</v>
      </c>
      <c r="K23" s="3" cm="1">
        <f t="array" ref="K23">PlayerStatus!K23+_xlfn.SWITCH($O23,
"Balance",GrowthType!$C$2*(EnemyStatus!$R23-1),
"Atype",GrowthType!$C$3*(EnemyStatus!$R23-1),
"Dtype",GrowthType!$C$4*(EnemyStatus!$R23-1),
"Itype",GrowthType!$C$5*(EnemyStatus!$R23-1),
"Stype",GrowthType!$C$6*(EnemyStatus!$R23-1))</f>
        <v>134</v>
      </c>
      <c r="L23" s="3" cm="1">
        <f t="array" ref="L23">PlayerStatus!L23+_xlfn.SWITCH($O23,
"Balance",GrowthType!$D$2*(EnemyStatus!$R23-1),
"Atype",GrowthType!$D$3*(EnemyStatus!$R23-1),
"Dtype",GrowthType!$D$4*(EnemyStatus!$R23-1),
"Itype",GrowthType!$D$5*(EnemyStatus!$R23-1),
"Stype",GrowthType!$D$6*(EnemyStatus!$R23-1))</f>
        <v>80</v>
      </c>
      <c r="M23" s="3" cm="1">
        <f t="array" ref="M23">PlayerStatus!M23+_xlfn.SWITCH($O23,
"Balance",GrowthType!$E$2*(EnemyStatus!$R23-1),
"Atype",GrowthType!$E$3*(EnemyStatus!$R23-1),
"Dtype",GrowthType!$E$4*(EnemyStatus!$R23-1),
"Itype",GrowthType!$E$5*(EnemyStatus!$R23-1),
"Stype",GrowthType!$E$6*(EnemyStatus!$R23-1))</f>
        <v>42</v>
      </c>
      <c r="N23" s="3" cm="1">
        <f t="array" ref="N23">PlayerStatus!N23+_xlfn.SWITCH($O23,
"Balance",GrowthType!$F$2*(EnemyStatus!$R23-1),
"Atype",GrowthType!$F$3*(EnemyStatus!$R23-1),
"Dtype",GrowthType!$F$4*(EnemyStatus!$R23-1),
"Itype",GrowthType!$F$5*(EnemyStatus!$R23-1),
"Stype",GrowthType!$F$6*(EnemyStatus!$R23-1))</f>
        <v>64</v>
      </c>
      <c r="O23" s="3" t="s">
        <v>6</v>
      </c>
      <c r="P23" s="3" t="s">
        <v>148</v>
      </c>
      <c r="Q23" s="3">
        <v>-1</v>
      </c>
      <c r="R23" s="3">
        <v>13</v>
      </c>
      <c r="S23" s="3">
        <f t="shared" si="1"/>
        <v>32</v>
      </c>
    </row>
    <row r="24" spans="1:19" x14ac:dyDescent="0.55000000000000004">
      <c r="A24" s="3">
        <v>6013</v>
      </c>
      <c r="B24" s="3" t="s">
        <v>111</v>
      </c>
      <c r="C24" s="4" t="s">
        <v>37</v>
      </c>
      <c r="D24" s="3" t="s">
        <v>55</v>
      </c>
      <c r="E24" s="4" t="s">
        <v>54</v>
      </c>
      <c r="F24" s="3" t="s">
        <v>61</v>
      </c>
      <c r="G24" s="4" t="s">
        <v>66</v>
      </c>
      <c r="H24" s="3" t="s">
        <v>73</v>
      </c>
      <c r="I24" s="4" t="s">
        <v>69</v>
      </c>
      <c r="J24" s="3" cm="1">
        <f t="array" ref="J24">PlayerStatus!J24+_xlfn.SWITCH($O24,
"Balance",GrowthType!$B$2*(EnemyStatus!$R24-1),
"Atype",GrowthType!$B$3*(EnemyStatus!$R24-1),
"Dtype",GrowthType!$B$4*(EnemyStatus!$R24-1),
"Itype",GrowthType!$B$5*(EnemyStatus!$R24-1),
"Stype",GrowthType!$B$6*(EnemyStatus!$R24-1))</f>
        <v>420</v>
      </c>
      <c r="K24" s="3" cm="1">
        <f t="array" ref="K24">PlayerStatus!K24+_xlfn.SWITCH($O24,
"Balance",GrowthType!$C$2*(EnemyStatus!$R24-1),
"Atype",GrowthType!$C$3*(EnemyStatus!$R24-1),
"Dtype",GrowthType!$C$4*(EnemyStatus!$R24-1),
"Itype",GrowthType!$C$5*(EnemyStatus!$R24-1),
"Stype",GrowthType!$C$6*(EnemyStatus!$R24-1))</f>
        <v>140</v>
      </c>
      <c r="L24" s="3" cm="1">
        <f t="array" ref="L24">PlayerStatus!L24+_xlfn.SWITCH($O24,
"Balance",GrowthType!$D$2*(EnemyStatus!$R24-1),
"Atype",GrowthType!$D$3*(EnemyStatus!$R24-1),
"Dtype",GrowthType!$D$4*(EnemyStatus!$R24-1),
"Itype",GrowthType!$D$5*(EnemyStatus!$R24-1),
"Stype",GrowthType!$D$6*(EnemyStatus!$R24-1))</f>
        <v>80</v>
      </c>
      <c r="M24" s="3" cm="1">
        <f t="array" ref="M24">PlayerStatus!M24+_xlfn.SWITCH($O24,
"Balance",GrowthType!$E$2*(EnemyStatus!$R24-1),
"Atype",GrowthType!$E$3*(EnemyStatus!$R24-1),
"Dtype",GrowthType!$E$4*(EnemyStatus!$R24-1),
"Itype",GrowthType!$E$5*(EnemyStatus!$R24-1),
"Stype",GrowthType!$E$6*(EnemyStatus!$R24-1))</f>
        <v>36</v>
      </c>
      <c r="N24" s="3" cm="1">
        <f t="array" ref="N24">PlayerStatus!N24+_xlfn.SWITCH($O24,
"Balance",GrowthType!$F$2*(EnemyStatus!$R24-1),
"Atype",GrowthType!$F$3*(EnemyStatus!$R24-1),
"Dtype",GrowthType!$F$4*(EnemyStatus!$R24-1),
"Itype",GrowthType!$F$5*(EnemyStatus!$R24-1),
"Stype",GrowthType!$F$6*(EnemyStatus!$R24-1))</f>
        <v>64</v>
      </c>
      <c r="O24" s="3" t="s">
        <v>6</v>
      </c>
      <c r="P24" s="3" t="s">
        <v>148</v>
      </c>
      <c r="Q24" s="3">
        <v>-1</v>
      </c>
      <c r="R24" s="3">
        <v>13</v>
      </c>
      <c r="S24" s="3">
        <f t="shared" si="1"/>
        <v>32</v>
      </c>
    </row>
    <row r="25" spans="1:19" x14ac:dyDescent="0.55000000000000004">
      <c r="A25" s="3">
        <v>6014</v>
      </c>
      <c r="B25" s="3" t="s">
        <v>118</v>
      </c>
      <c r="C25" s="4" t="s">
        <v>42</v>
      </c>
      <c r="D25" s="3" t="s">
        <v>55</v>
      </c>
      <c r="E25" s="4" t="s">
        <v>54</v>
      </c>
      <c r="F25" s="3" t="s">
        <v>59</v>
      </c>
      <c r="G25" s="4" t="s">
        <v>64</v>
      </c>
      <c r="H25" s="3" t="s">
        <v>76</v>
      </c>
      <c r="I25" s="4" t="s">
        <v>72</v>
      </c>
      <c r="J25" s="3" cm="1">
        <f t="array" ref="J25">PlayerStatus!J25+_xlfn.SWITCH($O25,
"Balance",GrowthType!$B$2*(EnemyStatus!$R25-1),
"Atype",GrowthType!$B$3*(EnemyStatus!$R25-1),
"Dtype",GrowthType!$B$4*(EnemyStatus!$R25-1),
"Itype",GrowthType!$B$5*(EnemyStatus!$R25-1),
"Stype",GrowthType!$B$6*(EnemyStatus!$R25-1))</f>
        <v>320</v>
      </c>
      <c r="K25" s="3" cm="1">
        <f t="array" ref="K25">PlayerStatus!K25+_xlfn.SWITCH($O25,
"Balance",GrowthType!$C$2*(EnemyStatus!$R25-1),
"Atype",GrowthType!$C$3*(EnemyStatus!$R25-1),
"Dtype",GrowthType!$C$4*(EnemyStatus!$R25-1),
"Itype",GrowthType!$C$5*(EnemyStatus!$R25-1),
"Stype",GrowthType!$C$6*(EnemyStatus!$R25-1))</f>
        <v>70</v>
      </c>
      <c r="L25" s="3" cm="1">
        <f t="array" ref="L25">PlayerStatus!L25+_xlfn.SWITCH($O25,
"Balance",GrowthType!$D$2*(EnemyStatus!$R25-1),
"Atype",GrowthType!$D$3*(EnemyStatus!$R25-1),
"Dtype",GrowthType!$D$4*(EnemyStatus!$R25-1),
"Itype",GrowthType!$D$5*(EnemyStatus!$R25-1),
"Stype",GrowthType!$D$6*(EnemyStatus!$R25-1))</f>
        <v>52</v>
      </c>
      <c r="M25" s="3" cm="1">
        <f t="array" ref="M25">PlayerStatus!M25+_xlfn.SWITCH($O25,
"Balance",GrowthType!$E$2*(EnemyStatus!$R25-1),
"Atype",GrowthType!$E$3*(EnemyStatus!$R25-1),
"Dtype",GrowthType!$E$4*(EnemyStatus!$R25-1),
"Itype",GrowthType!$E$5*(EnemyStatus!$R25-1),
"Stype",GrowthType!$E$6*(EnemyStatus!$R25-1))</f>
        <v>70</v>
      </c>
      <c r="N25" s="3" cm="1">
        <f t="array" ref="N25">PlayerStatus!N25+_xlfn.SWITCH($O25,
"Balance",GrowthType!$F$2*(EnemyStatus!$R25-1),
"Atype",GrowthType!$F$3*(EnemyStatus!$R25-1),
"Dtype",GrowthType!$F$4*(EnemyStatus!$R25-1),
"Itype",GrowthType!$F$5*(EnemyStatus!$R25-1),
"Stype",GrowthType!$F$6*(EnemyStatus!$R25-1))</f>
        <v>108</v>
      </c>
      <c r="O25" s="3" t="s">
        <v>9</v>
      </c>
      <c r="P25" s="3" t="s">
        <v>151</v>
      </c>
      <c r="Q25" s="3">
        <v>-1</v>
      </c>
      <c r="R25" s="3">
        <v>11</v>
      </c>
      <c r="S25" s="3">
        <f t="shared" si="1"/>
        <v>30</v>
      </c>
    </row>
    <row r="26" spans="1:19" x14ac:dyDescent="0.55000000000000004">
      <c r="A26" s="3">
        <v>6015</v>
      </c>
      <c r="B26" s="3" t="s">
        <v>121</v>
      </c>
      <c r="C26" s="4" t="s">
        <v>45</v>
      </c>
      <c r="D26" s="3" t="s">
        <v>55</v>
      </c>
      <c r="E26" s="4" t="s">
        <v>54</v>
      </c>
      <c r="F26" s="3" t="s">
        <v>58</v>
      </c>
      <c r="G26" s="4" t="s">
        <v>63</v>
      </c>
      <c r="H26" s="3" t="s">
        <v>74</v>
      </c>
      <c r="I26" s="4" t="s">
        <v>70</v>
      </c>
      <c r="J26" s="3" cm="1">
        <f t="array" ref="J26">PlayerStatus!J26+_xlfn.SWITCH($O26,
"Balance",GrowthType!$B$2*(EnemyStatus!$R26-1),
"Atype",GrowthType!$B$3*(EnemyStatus!$R26-1),
"Dtype",GrowthType!$B$4*(EnemyStatus!$R26-1),
"Itype",GrowthType!$B$5*(EnemyStatus!$R26-1),
"Stype",GrowthType!$B$6*(EnemyStatus!$R26-1))</f>
        <v>630</v>
      </c>
      <c r="K26" s="3" cm="1">
        <f t="array" ref="K26">PlayerStatus!K26+_xlfn.SWITCH($O26,
"Balance",GrowthType!$C$2*(EnemyStatus!$R26-1),
"Atype",GrowthType!$C$3*(EnemyStatus!$R26-1),
"Dtype",GrowthType!$C$4*(EnemyStatus!$R26-1),
"Itype",GrowthType!$C$5*(EnemyStatus!$R26-1),
"Stype",GrowthType!$C$6*(EnemyStatus!$R26-1))</f>
        <v>69</v>
      </c>
      <c r="L26" s="3" cm="1">
        <f t="array" ref="L26">PlayerStatus!L26+_xlfn.SWITCH($O26,
"Balance",GrowthType!$D$2*(EnemyStatus!$R26-1),
"Atype",GrowthType!$D$3*(EnemyStatus!$R26-1),
"Dtype",GrowthType!$D$4*(EnemyStatus!$R26-1),
"Itype",GrowthType!$D$5*(EnemyStatus!$R26-1),
"Stype",GrowthType!$D$6*(EnemyStatus!$R26-1))</f>
        <v>125</v>
      </c>
      <c r="M26" s="3" cm="1">
        <f t="array" ref="M26">PlayerStatus!M26+_xlfn.SWITCH($O26,
"Balance",GrowthType!$E$2*(EnemyStatus!$R26-1),
"Atype",GrowthType!$E$3*(EnemyStatus!$R26-1),
"Dtype",GrowthType!$E$4*(EnemyStatus!$R26-1),
"Itype",GrowthType!$E$5*(EnemyStatus!$R26-1),
"Stype",GrowthType!$E$6*(EnemyStatus!$R26-1))</f>
        <v>76</v>
      </c>
      <c r="N26" s="3" cm="1">
        <f t="array" ref="N26">PlayerStatus!N26+_xlfn.SWITCH($O26,
"Balance",GrowthType!$F$2*(EnemyStatus!$R26-1),
"Atype",GrowthType!$F$3*(EnemyStatus!$R26-1),
"Dtype",GrowthType!$F$4*(EnemyStatus!$R26-1),
"Itype",GrowthType!$F$5*(EnemyStatus!$R26-1),
"Stype",GrowthType!$F$6*(EnemyStatus!$R26-1))</f>
        <v>50</v>
      </c>
      <c r="O26" s="3" t="s">
        <v>7</v>
      </c>
      <c r="P26" s="3" t="s">
        <v>149</v>
      </c>
      <c r="Q26" s="3">
        <v>-1</v>
      </c>
      <c r="R26" s="3">
        <v>13</v>
      </c>
      <c r="S26" s="3">
        <f t="shared" si="1"/>
        <v>32</v>
      </c>
    </row>
    <row r="27" spans="1:19" x14ac:dyDescent="0.55000000000000004">
      <c r="A27" s="3">
        <v>6016</v>
      </c>
      <c r="B27" s="3" t="s">
        <v>114</v>
      </c>
      <c r="C27" s="4" t="s">
        <v>46</v>
      </c>
      <c r="D27" s="3" t="s">
        <v>55</v>
      </c>
      <c r="E27" s="4" t="s">
        <v>54</v>
      </c>
      <c r="F27" s="3" t="s">
        <v>59</v>
      </c>
      <c r="G27" s="4" t="s">
        <v>64</v>
      </c>
      <c r="H27" s="3" t="s">
        <v>75</v>
      </c>
      <c r="I27" s="4" t="s">
        <v>71</v>
      </c>
      <c r="J27" s="3" cm="1">
        <f t="array" ref="J27">PlayerStatus!J27+_xlfn.SWITCH($O27,
"Balance",GrowthType!$B$2*(EnemyStatus!$R27-1),
"Atype",GrowthType!$B$3*(EnemyStatus!$R27-1),
"Dtype",GrowthType!$B$4*(EnemyStatus!$R27-1),
"Itype",GrowthType!$B$5*(EnemyStatus!$R27-1),
"Stype",GrowthType!$B$6*(EnemyStatus!$R27-1))</f>
        <v>390</v>
      </c>
      <c r="K27" s="3" cm="1">
        <f t="array" ref="K27">PlayerStatus!K27+_xlfn.SWITCH($O27,
"Balance",GrowthType!$C$2*(EnemyStatus!$R27-1),
"Atype",GrowthType!$C$3*(EnemyStatus!$R27-1),
"Dtype",GrowthType!$C$4*(EnemyStatus!$R27-1),
"Itype",GrowthType!$C$5*(EnemyStatus!$R27-1),
"Stype",GrowthType!$C$6*(EnemyStatus!$R27-1))</f>
        <v>62</v>
      </c>
      <c r="L27" s="3" cm="1">
        <f t="array" ref="L27">PlayerStatus!L27+_xlfn.SWITCH($O27,
"Balance",GrowthType!$D$2*(EnemyStatus!$R27-1),
"Atype",GrowthType!$D$3*(EnemyStatus!$R27-1),
"Dtype",GrowthType!$D$4*(EnemyStatus!$R27-1),
"Itype",GrowthType!$D$5*(EnemyStatus!$R27-1),
"Stype",GrowthType!$D$6*(EnemyStatus!$R27-1))</f>
        <v>76</v>
      </c>
      <c r="M27" s="3" cm="1">
        <f t="array" ref="M27">PlayerStatus!M27+_xlfn.SWITCH($O27,
"Balance",GrowthType!$E$2*(EnemyStatus!$R27-1),
"Atype",GrowthType!$E$3*(EnemyStatus!$R27-1),
"Dtype",GrowthType!$E$4*(EnemyStatus!$R27-1),
"Itype",GrowthType!$E$5*(EnemyStatus!$R27-1),
"Stype",GrowthType!$E$6*(EnemyStatus!$R27-1))</f>
        <v>120</v>
      </c>
      <c r="N27" s="3" cm="1">
        <f t="array" ref="N27">PlayerStatus!N27+_xlfn.SWITCH($O27,
"Balance",GrowthType!$F$2*(EnemyStatus!$R27-1),
"Atype",GrowthType!$F$3*(EnemyStatus!$R27-1),
"Dtype",GrowthType!$F$4*(EnemyStatus!$R27-1),
"Itype",GrowthType!$F$5*(EnemyStatus!$R27-1),
"Stype",GrowthType!$F$6*(EnemyStatus!$R27-1))</f>
        <v>62</v>
      </c>
      <c r="O27" s="3" t="s">
        <v>8</v>
      </c>
      <c r="P27" s="3" t="s">
        <v>150</v>
      </c>
      <c r="Q27" s="3">
        <v>-1</v>
      </c>
      <c r="R27" s="3">
        <v>13</v>
      </c>
      <c r="S27" s="3">
        <f t="shared" si="1"/>
        <v>32</v>
      </c>
    </row>
    <row r="28" spans="1:19" x14ac:dyDescent="0.55000000000000004">
      <c r="A28" s="3">
        <v>6017</v>
      </c>
      <c r="B28" s="3" t="s">
        <v>112</v>
      </c>
      <c r="C28" s="4" t="s">
        <v>40</v>
      </c>
      <c r="D28" s="3" t="s">
        <v>55</v>
      </c>
      <c r="E28" s="4" t="s">
        <v>54</v>
      </c>
      <c r="F28" s="3" t="s">
        <v>61</v>
      </c>
      <c r="G28" s="4" t="s">
        <v>66</v>
      </c>
      <c r="H28" s="3" t="s">
        <v>73</v>
      </c>
      <c r="I28" s="4" t="s">
        <v>69</v>
      </c>
      <c r="J28" s="3" cm="1">
        <f t="array" ref="J28">PlayerStatus!J28+_xlfn.SWITCH($O28,
"Balance",GrowthType!$B$2*(EnemyStatus!$R28-1),
"Atype",GrowthType!$B$3*(EnemyStatus!$R28-1),
"Dtype",GrowthType!$B$4*(EnemyStatus!$R28-1),
"Itype",GrowthType!$B$5*(EnemyStatus!$R28-1),
"Stype",GrowthType!$B$6*(EnemyStatus!$R28-1))</f>
        <v>410</v>
      </c>
      <c r="K28" s="3" cm="1">
        <f t="array" ref="K28">PlayerStatus!K28+_xlfn.SWITCH($O28,
"Balance",GrowthType!$C$2*(EnemyStatus!$R28-1),
"Atype",GrowthType!$C$3*(EnemyStatus!$R28-1),
"Dtype",GrowthType!$C$4*(EnemyStatus!$R28-1),
"Itype",GrowthType!$C$5*(EnemyStatus!$R28-1),
"Stype",GrowthType!$C$6*(EnemyStatus!$R28-1))</f>
        <v>133</v>
      </c>
      <c r="L28" s="3" cm="1">
        <f t="array" ref="L28">PlayerStatus!L28+_xlfn.SWITCH($O28,
"Balance",GrowthType!$D$2*(EnemyStatus!$R28-1),
"Atype",GrowthType!$D$3*(EnemyStatus!$R28-1),
"Dtype",GrowthType!$D$4*(EnemyStatus!$R28-1),
"Itype",GrowthType!$D$5*(EnemyStatus!$R28-1),
"Stype",GrowthType!$D$6*(EnemyStatus!$R28-1))</f>
        <v>74</v>
      </c>
      <c r="M28" s="3" cm="1">
        <f t="array" ref="M28">PlayerStatus!M28+_xlfn.SWITCH($O28,
"Balance",GrowthType!$E$2*(EnemyStatus!$R28-1),
"Atype",GrowthType!$E$3*(EnemyStatus!$R28-1),
"Dtype",GrowthType!$E$4*(EnemyStatus!$R28-1),
"Itype",GrowthType!$E$5*(EnemyStatus!$R28-1),
"Stype",GrowthType!$E$6*(EnemyStatus!$R28-1))</f>
        <v>41</v>
      </c>
      <c r="N28" s="3" cm="1">
        <f t="array" ref="N28">PlayerStatus!N28+_xlfn.SWITCH($O28,
"Balance",GrowthType!$F$2*(EnemyStatus!$R28-1),
"Atype",GrowthType!$F$3*(EnemyStatus!$R28-1),
"Dtype",GrowthType!$F$4*(EnemyStatus!$R28-1),
"Itype",GrowthType!$F$5*(EnemyStatus!$R28-1),
"Stype",GrowthType!$F$6*(EnemyStatus!$R28-1))</f>
        <v>62</v>
      </c>
      <c r="O28" s="3" t="s">
        <v>6</v>
      </c>
      <c r="P28" s="3" t="s">
        <v>148</v>
      </c>
      <c r="Q28" s="3">
        <v>-1</v>
      </c>
      <c r="R28" s="3">
        <v>12</v>
      </c>
      <c r="S28" s="3">
        <f t="shared" si="1"/>
        <v>31</v>
      </c>
    </row>
    <row r="29" spans="1:19" x14ac:dyDescent="0.55000000000000004">
      <c r="A29" s="3">
        <v>6018</v>
      </c>
      <c r="B29" s="3" t="s">
        <v>107</v>
      </c>
      <c r="C29" s="4" t="s">
        <v>36</v>
      </c>
      <c r="D29" s="3" t="s">
        <v>55</v>
      </c>
      <c r="E29" s="4" t="s">
        <v>54</v>
      </c>
      <c r="F29" s="3" t="s">
        <v>59</v>
      </c>
      <c r="G29" s="4" t="s">
        <v>64</v>
      </c>
      <c r="H29" s="3" t="s">
        <v>75</v>
      </c>
      <c r="I29" s="4" t="s">
        <v>71</v>
      </c>
      <c r="J29" s="3" cm="1">
        <f t="array" ref="J29">PlayerStatus!J29+_xlfn.SWITCH($O29,
"Balance",GrowthType!$B$2*(EnemyStatus!$R29-1),
"Atype",GrowthType!$B$3*(EnemyStatus!$R29-1),
"Dtype",GrowthType!$B$4*(EnemyStatus!$R29-1),
"Itype",GrowthType!$B$5*(EnemyStatus!$R29-1),
"Stype",GrowthType!$B$6*(EnemyStatus!$R29-1))</f>
        <v>360</v>
      </c>
      <c r="K29" s="3" cm="1">
        <f t="array" ref="K29">PlayerStatus!K29+_xlfn.SWITCH($O29,
"Balance",GrowthType!$C$2*(EnemyStatus!$R29-1),
"Atype",GrowthType!$C$3*(EnemyStatus!$R29-1),
"Dtype",GrowthType!$C$4*(EnemyStatus!$R29-1),
"Itype",GrowthType!$C$5*(EnemyStatus!$R29-1),
"Stype",GrowthType!$C$6*(EnemyStatus!$R29-1))</f>
        <v>61</v>
      </c>
      <c r="L29" s="3" cm="1">
        <f t="array" ref="L29">PlayerStatus!L29+_xlfn.SWITCH($O29,
"Balance",GrowthType!$D$2*(EnemyStatus!$R29-1),
"Atype",GrowthType!$D$3*(EnemyStatus!$R29-1),
"Dtype",GrowthType!$D$4*(EnemyStatus!$R29-1),
"Itype",GrowthType!$D$5*(EnemyStatus!$R29-1),
"Stype",GrowthType!$D$6*(EnemyStatus!$R29-1))</f>
        <v>72</v>
      </c>
      <c r="M29" s="3" cm="1">
        <f t="array" ref="M29">PlayerStatus!M29+_xlfn.SWITCH($O29,
"Balance",GrowthType!$E$2*(EnemyStatus!$R29-1),
"Atype",GrowthType!$E$3*(EnemyStatus!$R29-1),
"Dtype",GrowthType!$E$4*(EnemyStatus!$R29-1),
"Itype",GrowthType!$E$5*(EnemyStatus!$R29-1),
"Stype",GrowthType!$E$6*(EnemyStatus!$R29-1))</f>
        <v>115</v>
      </c>
      <c r="N29" s="3" cm="1">
        <f t="array" ref="N29">PlayerStatus!N29+_xlfn.SWITCH($O29,
"Balance",GrowthType!$F$2*(EnemyStatus!$R29-1),
"Atype",GrowthType!$F$3*(EnemyStatus!$R29-1),
"Dtype",GrowthType!$F$4*(EnemyStatus!$R29-1),
"Itype",GrowthType!$F$5*(EnemyStatus!$R29-1),
"Stype",GrowthType!$F$6*(EnemyStatus!$R29-1))</f>
        <v>62</v>
      </c>
      <c r="O29" s="3" t="s">
        <v>8</v>
      </c>
      <c r="P29" s="3" t="s">
        <v>150</v>
      </c>
      <c r="Q29" s="3">
        <v>-1</v>
      </c>
      <c r="R29" s="3">
        <v>12</v>
      </c>
      <c r="S29" s="3">
        <f t="shared" si="1"/>
        <v>31</v>
      </c>
    </row>
    <row r="30" spans="1:19" x14ac:dyDescent="0.55000000000000004">
      <c r="A30" s="3">
        <v>6019</v>
      </c>
      <c r="B30" s="3" t="s">
        <v>115</v>
      </c>
      <c r="C30" s="4" t="s">
        <v>53</v>
      </c>
      <c r="D30" s="3" t="s">
        <v>55</v>
      </c>
      <c r="E30" s="4" t="s">
        <v>54</v>
      </c>
      <c r="F30" s="3" t="s">
        <v>58</v>
      </c>
      <c r="G30" s="4" t="s">
        <v>63</v>
      </c>
      <c r="H30" s="3" t="s">
        <v>75</v>
      </c>
      <c r="I30" s="4" t="s">
        <v>71</v>
      </c>
      <c r="J30" s="3" cm="1">
        <f t="array" ref="J30">PlayerStatus!J30+_xlfn.SWITCH($O30,
"Balance",GrowthType!$B$2*(EnemyStatus!$R30-1),
"Atype",GrowthType!$B$3*(EnemyStatus!$R30-1),
"Dtype",GrowthType!$B$4*(EnemyStatus!$R30-1),
"Itype",GrowthType!$B$5*(EnemyStatus!$R30-1),
"Stype",GrowthType!$B$6*(EnemyStatus!$R30-1))</f>
        <v>890</v>
      </c>
      <c r="K30" s="3" cm="1">
        <f t="array" ref="K30">PlayerStatus!K30+_xlfn.SWITCH($O30,
"Balance",GrowthType!$C$2*(EnemyStatus!$R30-1),
"Atype",GrowthType!$C$3*(EnemyStatus!$R30-1),
"Dtype",GrowthType!$C$4*(EnemyStatus!$R30-1),
"Itype",GrowthType!$C$5*(EnemyStatus!$R30-1),
"Stype",GrowthType!$C$6*(EnemyStatus!$R30-1))</f>
        <v>139</v>
      </c>
      <c r="L30" s="3" cm="1">
        <f t="array" ref="L30">PlayerStatus!L30+_xlfn.SWITCH($O30,
"Balance",GrowthType!$D$2*(EnemyStatus!$R30-1),
"Atype",GrowthType!$D$3*(EnemyStatus!$R30-1),
"Dtype",GrowthType!$D$4*(EnemyStatus!$R30-1),
"Itype",GrowthType!$D$5*(EnemyStatus!$R30-1),
"Stype",GrowthType!$D$6*(EnemyStatus!$R30-1))</f>
        <v>178</v>
      </c>
      <c r="M30" s="3" cm="1">
        <f t="array" ref="M30">PlayerStatus!M30+_xlfn.SWITCH($O30,
"Balance",GrowthType!$E$2*(EnemyStatus!$R30-1),
"Atype",GrowthType!$E$3*(EnemyStatus!$R30-1),
"Dtype",GrowthType!$E$4*(EnemyStatus!$R30-1),
"Itype",GrowthType!$E$5*(EnemyStatus!$R30-1),
"Stype",GrowthType!$E$6*(EnemyStatus!$R30-1))</f>
        <v>315</v>
      </c>
      <c r="N30" s="3" cm="1">
        <f t="array" ref="N30">PlayerStatus!N30+_xlfn.SWITCH($O30,
"Balance",GrowthType!$F$2*(EnemyStatus!$R30-1),
"Atype",GrowthType!$F$3*(EnemyStatus!$R30-1),
"Dtype",GrowthType!$F$4*(EnemyStatus!$R30-1),
"Itype",GrowthType!$F$5*(EnemyStatus!$R30-1),
"Stype",GrowthType!$F$6*(EnemyStatus!$R30-1))</f>
        <v>158</v>
      </c>
      <c r="O30" s="3" t="s">
        <v>8</v>
      </c>
      <c r="P30" s="3" t="s">
        <v>150</v>
      </c>
      <c r="Q30" s="3">
        <v>-1</v>
      </c>
      <c r="R30" s="3">
        <v>40</v>
      </c>
      <c r="S30" s="3">
        <f>200+(R30-1)</f>
        <v>239</v>
      </c>
    </row>
    <row r="31" spans="1:19" x14ac:dyDescent="0.55000000000000004">
      <c r="A31" s="5">
        <v>7001</v>
      </c>
      <c r="B31" s="5" t="s">
        <v>153</v>
      </c>
      <c r="C31" s="6" t="s">
        <v>78</v>
      </c>
      <c r="D31" s="5" t="s">
        <v>92</v>
      </c>
      <c r="E31" s="6" t="s">
        <v>91</v>
      </c>
      <c r="F31" s="5" t="s">
        <v>58</v>
      </c>
      <c r="G31" s="6" t="s">
        <v>63</v>
      </c>
      <c r="H31" s="5" t="s">
        <v>73</v>
      </c>
      <c r="I31" s="6" t="s">
        <v>69</v>
      </c>
      <c r="J31" s="5" cm="1">
        <f t="array" ref="J31">PlayerStatus!J31+_xlfn.SWITCH($O31,
"Balance",GrowthType!$B$2*(EnemyStatus!$R31-1),
"Atype",GrowthType!$B$3*(EnemyStatus!$R31-1),
"Dtype",GrowthType!$B$4*(EnemyStatus!$R31-1),
"Itype",GrowthType!$B$5*(EnemyStatus!$R31-1),
"Stype",GrowthType!$B$6*(EnemyStatus!$R31-1))</f>
        <v>660</v>
      </c>
      <c r="K31" s="5" cm="1">
        <f t="array" ref="K31">PlayerStatus!K31+_xlfn.SWITCH($O31,
"Balance",GrowthType!$C$2*(EnemyStatus!$R31-1),
"Atype",GrowthType!$C$3*(EnemyStatus!$R31-1),
"Dtype",GrowthType!$C$4*(EnemyStatus!$R31-1),
"Itype",GrowthType!$C$5*(EnemyStatus!$R31-1),
"Stype",GrowthType!$C$6*(EnemyStatus!$R31-1))</f>
        <v>215</v>
      </c>
      <c r="L31" s="5" cm="1">
        <f t="array" ref="L31">PlayerStatus!L31+_xlfn.SWITCH($O31,
"Balance",GrowthType!$D$2*(EnemyStatus!$R31-1),
"Atype",GrowthType!$D$3*(EnemyStatus!$R31-1),
"Dtype",GrowthType!$D$4*(EnemyStatus!$R31-1),
"Itype",GrowthType!$D$5*(EnemyStatus!$R31-1),
"Stype",GrowthType!$D$6*(EnemyStatus!$R31-1))</f>
        <v>122</v>
      </c>
      <c r="M31" s="5" cm="1">
        <f t="array" ref="M31">PlayerStatus!M31+_xlfn.SWITCH($O31,
"Balance",GrowthType!$E$2*(EnemyStatus!$R31-1),
"Atype",GrowthType!$E$3*(EnemyStatus!$R31-1),
"Dtype",GrowthType!$E$4*(EnemyStatus!$R31-1),
"Itype",GrowthType!$E$5*(EnemyStatus!$R31-1),
"Stype",GrowthType!$E$6*(EnemyStatus!$R31-1))</f>
        <v>67</v>
      </c>
      <c r="N31" s="5" cm="1">
        <f t="array" ref="N31">PlayerStatus!N31+_xlfn.SWITCH($O31,
"Balance",GrowthType!$F$2*(EnemyStatus!$R31-1),
"Atype",GrowthType!$F$3*(EnemyStatus!$R31-1),
"Dtype",GrowthType!$F$4*(EnemyStatus!$R31-1),
"Itype",GrowthType!$F$5*(EnemyStatus!$R31-1),
"Stype",GrowthType!$F$6*(EnemyStatus!$R31-1))</f>
        <v>106</v>
      </c>
      <c r="O31" s="5" t="s">
        <v>6</v>
      </c>
      <c r="P31" s="5" t="s">
        <v>148</v>
      </c>
      <c r="Q31" s="5">
        <v>-1</v>
      </c>
      <c r="R31" s="5">
        <v>17</v>
      </c>
      <c r="S31" s="5">
        <f>50+(R31-1)</f>
        <v>66</v>
      </c>
    </row>
    <row r="32" spans="1:19" x14ac:dyDescent="0.55000000000000004">
      <c r="A32" s="5">
        <v>7002</v>
      </c>
      <c r="B32" s="5" t="s">
        <v>128</v>
      </c>
      <c r="C32" s="6" t="s">
        <v>79</v>
      </c>
      <c r="D32" s="5" t="s">
        <v>92</v>
      </c>
      <c r="E32" s="6" t="s">
        <v>91</v>
      </c>
      <c r="F32" s="5" t="s">
        <v>58</v>
      </c>
      <c r="G32" s="6" t="s">
        <v>63</v>
      </c>
      <c r="H32" s="5" t="s">
        <v>76</v>
      </c>
      <c r="I32" s="6" t="s">
        <v>72</v>
      </c>
      <c r="J32" s="5" cm="1">
        <f t="array" ref="J32">PlayerStatus!J32+_xlfn.SWITCH($O32,
"Balance",GrowthType!$B$2*(EnemyStatus!$R32-1),
"Atype",GrowthType!$B$3*(EnemyStatus!$R32-1),
"Dtype",GrowthType!$B$4*(EnemyStatus!$R32-1),
"Itype",GrowthType!$B$5*(EnemyStatus!$R32-1),
"Stype",GrowthType!$B$6*(EnemyStatus!$R32-1))</f>
        <v>545</v>
      </c>
      <c r="K32" s="5" cm="1">
        <f t="array" ref="K32">PlayerStatus!K32+_xlfn.SWITCH($O32,
"Balance",GrowthType!$C$2*(EnemyStatus!$R32-1),
"Atype",GrowthType!$C$3*(EnemyStatus!$R32-1),
"Dtype",GrowthType!$C$4*(EnemyStatus!$R32-1),
"Itype",GrowthType!$C$5*(EnemyStatus!$R32-1),
"Stype",GrowthType!$C$6*(EnemyStatus!$R32-1))</f>
        <v>130</v>
      </c>
      <c r="L32" s="5" cm="1">
        <f t="array" ref="L32">PlayerStatus!L32+_xlfn.SWITCH($O32,
"Balance",GrowthType!$D$2*(EnemyStatus!$R32-1),
"Atype",GrowthType!$D$3*(EnemyStatus!$R32-1),
"Dtype",GrowthType!$D$4*(EnemyStatus!$R32-1),
"Itype",GrowthType!$D$5*(EnemyStatus!$R32-1),
"Stype",GrowthType!$D$6*(EnemyStatus!$R32-1))</f>
        <v>95</v>
      </c>
      <c r="M32" s="5" cm="1">
        <f t="array" ref="M32">PlayerStatus!M32+_xlfn.SWITCH($O32,
"Balance",GrowthType!$E$2*(EnemyStatus!$R32-1),
"Atype",GrowthType!$E$3*(EnemyStatus!$R32-1),
"Dtype",GrowthType!$E$4*(EnemyStatus!$R32-1),
"Itype",GrowthType!$E$5*(EnemyStatus!$R32-1),
"Stype",GrowthType!$E$6*(EnemyStatus!$R32-1))</f>
        <v>100</v>
      </c>
      <c r="N32" s="5" cm="1">
        <f t="array" ref="N32">PlayerStatus!N32+_xlfn.SWITCH($O32,
"Balance",GrowthType!$F$2*(EnemyStatus!$R32-1),
"Atype",GrowthType!$F$3*(EnemyStatus!$R32-1),
"Dtype",GrowthType!$F$4*(EnemyStatus!$R32-1),
"Itype",GrowthType!$F$5*(EnemyStatus!$R32-1),
"Stype",GrowthType!$F$6*(EnemyStatus!$R32-1))</f>
        <v>175</v>
      </c>
      <c r="O32" s="5" t="s">
        <v>9</v>
      </c>
      <c r="P32" s="5" t="s">
        <v>149</v>
      </c>
      <c r="Q32" s="5">
        <v>-1</v>
      </c>
      <c r="R32" s="5">
        <v>16</v>
      </c>
      <c r="S32" s="5">
        <f t="shared" ref="S32:S34" si="2">50+(R32-1)</f>
        <v>65</v>
      </c>
    </row>
    <row r="33" spans="1:19" x14ac:dyDescent="0.55000000000000004">
      <c r="A33" s="5">
        <v>7003</v>
      </c>
      <c r="B33" s="5" t="s">
        <v>154</v>
      </c>
      <c r="C33" s="6" t="s">
        <v>80</v>
      </c>
      <c r="D33" s="5" t="s">
        <v>92</v>
      </c>
      <c r="E33" s="6" t="s">
        <v>91</v>
      </c>
      <c r="F33" s="5" t="s">
        <v>58</v>
      </c>
      <c r="G33" s="6" t="s">
        <v>63</v>
      </c>
      <c r="H33" s="5" t="s">
        <v>75</v>
      </c>
      <c r="I33" s="6" t="s">
        <v>71</v>
      </c>
      <c r="J33" s="5" cm="1">
        <f t="array" ref="J33">PlayerStatus!J33+_xlfn.SWITCH($O33,
"Balance",GrowthType!$B$2*(EnemyStatus!$R33-1),
"Atype",GrowthType!$B$3*(EnemyStatus!$R33-1),
"Dtype",GrowthType!$B$4*(EnemyStatus!$R33-1),
"Itype",GrowthType!$B$5*(EnemyStatus!$R33-1),
"Stype",GrowthType!$B$6*(EnemyStatus!$R33-1))</f>
        <v>620</v>
      </c>
      <c r="K33" s="5" cm="1">
        <f t="array" ref="K33">PlayerStatus!K33+_xlfn.SWITCH($O33,
"Balance",GrowthType!$C$2*(EnemyStatus!$R33-1),
"Atype",GrowthType!$C$3*(EnemyStatus!$R33-1),
"Dtype",GrowthType!$C$4*(EnemyStatus!$R33-1),
"Itype",GrowthType!$C$5*(EnemyStatus!$R33-1),
"Stype",GrowthType!$C$6*(EnemyStatus!$R33-1))</f>
        <v>97</v>
      </c>
      <c r="L33" s="5" cm="1">
        <f t="array" ref="L33">PlayerStatus!L33+_xlfn.SWITCH($O33,
"Balance",GrowthType!$D$2*(EnemyStatus!$R33-1),
"Atype",GrowthType!$D$3*(EnemyStatus!$R33-1),
"Dtype",GrowthType!$D$4*(EnemyStatus!$R33-1),
"Itype",GrowthType!$D$5*(EnemyStatus!$R33-1),
"Stype",GrowthType!$D$6*(EnemyStatus!$R33-1))</f>
        <v>124</v>
      </c>
      <c r="M33" s="5" cm="1">
        <f t="array" ref="M33">PlayerStatus!M33+_xlfn.SWITCH($O33,
"Balance",GrowthType!$E$2*(EnemyStatus!$R33-1),
"Atype",GrowthType!$E$3*(EnemyStatus!$R33-1),
"Dtype",GrowthType!$E$4*(EnemyStatus!$R33-1),
"Itype",GrowthType!$E$5*(EnemyStatus!$R33-1),
"Stype",GrowthType!$E$6*(EnemyStatus!$R33-1))</f>
        <v>185</v>
      </c>
      <c r="N33" s="5" cm="1">
        <f t="array" ref="N33">PlayerStatus!N33+_xlfn.SWITCH($O33,
"Balance",GrowthType!$F$2*(EnemyStatus!$R33-1),
"Atype",GrowthType!$F$3*(EnemyStatus!$R33-1),
"Dtype",GrowthType!$F$4*(EnemyStatus!$R33-1),
"Itype",GrowthType!$F$5*(EnemyStatus!$R33-1),
"Stype",GrowthType!$F$6*(EnemyStatus!$R33-1))</f>
        <v>114</v>
      </c>
      <c r="O33" s="5" t="s">
        <v>8</v>
      </c>
      <c r="P33" s="5" t="s">
        <v>150</v>
      </c>
      <c r="Q33" s="5">
        <v>-1</v>
      </c>
      <c r="R33" s="5">
        <v>18</v>
      </c>
      <c r="S33" s="5">
        <f t="shared" si="2"/>
        <v>67</v>
      </c>
    </row>
    <row r="34" spans="1:19" x14ac:dyDescent="0.55000000000000004">
      <c r="A34" s="5">
        <v>7004</v>
      </c>
      <c r="B34" s="5" t="s">
        <v>163</v>
      </c>
      <c r="C34" s="6" t="s">
        <v>93</v>
      </c>
      <c r="D34" s="5" t="s">
        <v>92</v>
      </c>
      <c r="E34" s="6" t="s">
        <v>91</v>
      </c>
      <c r="F34" s="5" t="s">
        <v>58</v>
      </c>
      <c r="G34" s="6" t="s">
        <v>63</v>
      </c>
      <c r="H34" s="5" t="s">
        <v>75</v>
      </c>
      <c r="I34" s="6" t="s">
        <v>71</v>
      </c>
      <c r="J34" s="5" cm="1">
        <f t="array" ref="J34">PlayerStatus!J34+_xlfn.SWITCH($O34,
"Balance",GrowthType!$B$2*(EnemyStatus!$R34-1),
"Atype",GrowthType!$B$3*(EnemyStatus!$R34-1),
"Dtype",GrowthType!$B$4*(EnemyStatus!$R34-1),
"Itype",GrowthType!$B$5*(EnemyStatus!$R34-1),
"Stype",GrowthType!$B$6*(EnemyStatus!$R34-1))</f>
        <v>590</v>
      </c>
      <c r="K34" s="5" cm="1">
        <f t="array" ref="K34">PlayerStatus!K34+_xlfn.SWITCH($O34,
"Balance",GrowthType!$C$2*(EnemyStatus!$R34-1),
"Atype",GrowthType!$C$3*(EnemyStatus!$R34-1),
"Dtype",GrowthType!$C$4*(EnemyStatus!$R34-1),
"Itype",GrowthType!$C$5*(EnemyStatus!$R34-1),
"Stype",GrowthType!$C$6*(EnemyStatus!$R34-1))</f>
        <v>90</v>
      </c>
      <c r="L34" s="5" cm="1">
        <f t="array" ref="L34">PlayerStatus!L34+_xlfn.SWITCH($O34,
"Balance",GrowthType!$D$2*(EnemyStatus!$R34-1),
"Atype",GrowthType!$D$3*(EnemyStatus!$R34-1),
"Dtype",GrowthType!$D$4*(EnemyStatus!$R34-1),
"Itype",GrowthType!$D$5*(EnemyStatus!$R34-1),
"Stype",GrowthType!$D$6*(EnemyStatus!$R34-1))</f>
        <v>117</v>
      </c>
      <c r="M34" s="5" cm="1">
        <f t="array" ref="M34">PlayerStatus!M34+_xlfn.SWITCH($O34,
"Balance",GrowthType!$E$2*(EnemyStatus!$R34-1),
"Atype",GrowthType!$E$3*(EnemyStatus!$R34-1),
"Dtype",GrowthType!$E$4*(EnemyStatus!$R34-1),
"Itype",GrowthType!$E$5*(EnemyStatus!$R34-1),
"Stype",GrowthType!$E$6*(EnemyStatus!$R34-1))</f>
        <v>180</v>
      </c>
      <c r="N34" s="5" cm="1">
        <f t="array" ref="N34">PlayerStatus!N34+_xlfn.SWITCH($O34,
"Balance",GrowthType!$F$2*(EnemyStatus!$R34-1),
"Atype",GrowthType!$F$3*(EnemyStatus!$R34-1),
"Dtype",GrowthType!$F$4*(EnemyStatus!$R34-1),
"Itype",GrowthType!$F$5*(EnemyStatus!$R34-1),
"Stype",GrowthType!$F$6*(EnemyStatus!$R34-1))</f>
        <v>103</v>
      </c>
      <c r="O34" s="5" t="s">
        <v>8</v>
      </c>
      <c r="P34" s="5" t="s">
        <v>150</v>
      </c>
      <c r="Q34" s="5">
        <v>-1</v>
      </c>
      <c r="R34" s="5">
        <v>15</v>
      </c>
      <c r="S34" s="5">
        <f t="shared" si="2"/>
        <v>64</v>
      </c>
    </row>
    <row r="35" spans="1:19" x14ac:dyDescent="0.55000000000000004">
      <c r="A35" s="5">
        <v>7007</v>
      </c>
      <c r="B35" s="5" t="s">
        <v>143</v>
      </c>
      <c r="C35" s="6" t="s">
        <v>89</v>
      </c>
      <c r="D35" s="5" t="s">
        <v>92</v>
      </c>
      <c r="E35" s="6" t="s">
        <v>91</v>
      </c>
      <c r="F35" s="5" t="s">
        <v>59</v>
      </c>
      <c r="G35" s="6" t="s">
        <v>64</v>
      </c>
      <c r="H35" s="5" t="s">
        <v>74</v>
      </c>
      <c r="I35" s="6" t="s">
        <v>70</v>
      </c>
      <c r="J35" s="5" cm="1">
        <f t="array" ref="J35">PlayerStatus!J35+_xlfn.SWITCH($O35,
"Balance",GrowthType!$B$2*(EnemyStatus!$R35-1),
"Atype",GrowthType!$B$3*(EnemyStatus!$R35-1),
"Dtype",GrowthType!$B$4*(EnemyStatus!$R35-1),
"Itype",GrowthType!$B$5*(EnemyStatus!$R35-1),
"Stype",GrowthType!$B$6*(EnemyStatus!$R35-1))</f>
        <v>900</v>
      </c>
      <c r="K35" s="5" cm="1">
        <f t="array" ref="K35">PlayerStatus!K35+_xlfn.SWITCH($O35,
"Balance",GrowthType!$C$2*(EnemyStatus!$R35-1),
"Atype",GrowthType!$C$3*(EnemyStatus!$R35-1),
"Dtype",GrowthType!$C$4*(EnemyStatus!$R35-1),
"Itype",GrowthType!$C$5*(EnemyStatus!$R35-1),
"Stype",GrowthType!$C$6*(EnemyStatus!$R35-1))</f>
        <v>123</v>
      </c>
      <c r="L35" s="5" cm="1">
        <f t="array" ref="L35">PlayerStatus!L35+_xlfn.SWITCH($O35,
"Balance",GrowthType!$D$2*(EnemyStatus!$R35-1),
"Atype",GrowthType!$D$3*(EnemyStatus!$R35-1),
"Dtype",GrowthType!$D$4*(EnemyStatus!$R35-1),
"Itype",GrowthType!$D$5*(EnemyStatus!$R35-1),
"Stype",GrowthType!$D$6*(EnemyStatus!$R35-1))</f>
        <v>200</v>
      </c>
      <c r="M35" s="5" cm="1">
        <f t="array" ref="M35">PlayerStatus!M35+_xlfn.SWITCH($O35,
"Balance",GrowthType!$E$2*(EnemyStatus!$R35-1),
"Atype",GrowthType!$E$3*(EnemyStatus!$R35-1),
"Dtype",GrowthType!$E$4*(EnemyStatus!$R35-1),
"Itype",GrowthType!$E$5*(EnemyStatus!$R35-1),
"Stype",GrowthType!$E$6*(EnemyStatus!$R35-1))</f>
        <v>88</v>
      </c>
      <c r="N35" s="5" cm="1">
        <f t="array" ref="N35">PlayerStatus!N35+_xlfn.SWITCH($O35,
"Balance",GrowthType!$F$2*(EnemyStatus!$R35-1),
"Atype",GrowthType!$F$3*(EnemyStatus!$R35-1),
"Dtype",GrowthType!$F$4*(EnemyStatus!$R35-1),
"Itype",GrowthType!$F$5*(EnemyStatus!$R35-1),
"Stype",GrowthType!$F$6*(EnemyStatus!$R35-1))</f>
        <v>79</v>
      </c>
      <c r="O35" s="5" t="s">
        <v>7</v>
      </c>
      <c r="P35" s="5" t="s">
        <v>149</v>
      </c>
      <c r="Q35" s="5">
        <v>-1</v>
      </c>
      <c r="R35" s="5">
        <v>15</v>
      </c>
      <c r="S35" s="5">
        <f t="shared" ref="S35:S45" si="3">50+(R35-1)</f>
        <v>64</v>
      </c>
    </row>
    <row r="36" spans="1:19" x14ac:dyDescent="0.55000000000000004">
      <c r="A36" s="5">
        <v>7008</v>
      </c>
      <c r="B36" s="5" t="s">
        <v>131</v>
      </c>
      <c r="C36" s="6" t="s">
        <v>85</v>
      </c>
      <c r="D36" s="5" t="s">
        <v>92</v>
      </c>
      <c r="E36" s="6" t="s">
        <v>91</v>
      </c>
      <c r="F36" s="5" t="s">
        <v>58</v>
      </c>
      <c r="G36" s="6" t="s">
        <v>63</v>
      </c>
      <c r="H36" s="5" t="s">
        <v>74</v>
      </c>
      <c r="I36" s="6" t="s">
        <v>70</v>
      </c>
      <c r="J36" s="5" cm="1">
        <f t="array" ref="J36">PlayerStatus!J36+_xlfn.SWITCH($O36,
"Balance",GrowthType!$B$2*(EnemyStatus!$R36-1),
"Atype",GrowthType!$B$3*(EnemyStatus!$R36-1),
"Dtype",GrowthType!$B$4*(EnemyStatus!$R36-1),
"Itype",GrowthType!$B$5*(EnemyStatus!$R36-1),
"Stype",GrowthType!$B$6*(EnemyStatus!$R36-1))</f>
        <v>925</v>
      </c>
      <c r="K36" s="5" cm="1">
        <f t="array" ref="K36">PlayerStatus!K36+_xlfn.SWITCH($O36,
"Balance",GrowthType!$C$2*(EnemyStatus!$R36-1),
"Atype",GrowthType!$C$3*(EnemyStatus!$R36-1),
"Dtype",GrowthType!$C$4*(EnemyStatus!$R36-1),
"Itype",GrowthType!$C$5*(EnemyStatus!$R36-1),
"Stype",GrowthType!$C$6*(EnemyStatus!$R36-1))</f>
        <v>120</v>
      </c>
      <c r="L36" s="5" cm="1">
        <f t="array" ref="L36">PlayerStatus!L36+_xlfn.SWITCH($O36,
"Balance",GrowthType!$D$2*(EnemyStatus!$R36-1),
"Atype",GrowthType!$D$3*(EnemyStatus!$R36-1),
"Dtype",GrowthType!$D$4*(EnemyStatus!$R36-1),
"Itype",GrowthType!$D$5*(EnemyStatus!$R36-1),
"Stype",GrowthType!$D$6*(EnemyStatus!$R36-1))</f>
        <v>205</v>
      </c>
      <c r="M36" s="5" cm="1">
        <f t="array" ref="M36">PlayerStatus!M36+_xlfn.SWITCH($O36,
"Balance",GrowthType!$E$2*(EnemyStatus!$R36-1),
"Atype",GrowthType!$E$3*(EnemyStatus!$R36-1),
"Dtype",GrowthType!$E$4*(EnemyStatus!$R36-1),
"Itype",GrowthType!$E$5*(EnemyStatus!$R36-1),
"Stype",GrowthType!$E$6*(EnemyStatus!$R36-1))</f>
        <v>85</v>
      </c>
      <c r="N36" s="5" cm="1">
        <f t="array" ref="N36">PlayerStatus!N36+_xlfn.SWITCH($O36,
"Balance",GrowthType!$F$2*(EnemyStatus!$R36-1),
"Atype",GrowthType!$F$3*(EnemyStatus!$R36-1),
"Dtype",GrowthType!$F$4*(EnemyStatus!$R36-1),
"Itype",GrowthType!$F$5*(EnemyStatus!$R36-1),
"Stype",GrowthType!$F$6*(EnemyStatus!$R36-1))</f>
        <v>90</v>
      </c>
      <c r="O36" s="5" t="s">
        <v>7</v>
      </c>
      <c r="P36" s="5" t="s">
        <v>149</v>
      </c>
      <c r="Q36" s="5">
        <v>-1</v>
      </c>
      <c r="R36" s="5">
        <v>16</v>
      </c>
      <c r="S36" s="5">
        <f t="shared" si="3"/>
        <v>65</v>
      </c>
    </row>
    <row r="37" spans="1:19" x14ac:dyDescent="0.55000000000000004">
      <c r="A37" s="5">
        <v>7009</v>
      </c>
      <c r="B37" s="5" t="s">
        <v>155</v>
      </c>
      <c r="C37" s="6" t="s">
        <v>86</v>
      </c>
      <c r="D37" s="5" t="s">
        <v>92</v>
      </c>
      <c r="E37" s="6" t="s">
        <v>91</v>
      </c>
      <c r="F37" s="5" t="s">
        <v>60</v>
      </c>
      <c r="G37" s="6" t="s">
        <v>65</v>
      </c>
      <c r="H37" s="5" t="s">
        <v>75</v>
      </c>
      <c r="I37" s="6" t="s">
        <v>71</v>
      </c>
      <c r="J37" s="5" cm="1">
        <f t="array" ref="J37">PlayerStatus!J37+_xlfn.SWITCH($O37,
"Balance",GrowthType!$B$2*(EnemyStatus!$R37-1),
"Atype",GrowthType!$B$3*(EnemyStatus!$R37-1),
"Dtype",GrowthType!$B$4*(EnemyStatus!$R37-1),
"Itype",GrowthType!$B$5*(EnemyStatus!$R37-1),
"Stype",GrowthType!$B$6*(EnemyStatus!$R37-1))</f>
        <v>740</v>
      </c>
      <c r="K37" s="5" cm="1">
        <f t="array" ref="K37">PlayerStatus!K37+_xlfn.SWITCH($O37,
"Balance",GrowthType!$C$2*(EnemyStatus!$R37-1),
"Atype",GrowthType!$C$3*(EnemyStatus!$R37-1),
"Dtype",GrowthType!$C$4*(EnemyStatus!$R37-1),
"Itype",GrowthType!$C$5*(EnemyStatus!$R37-1),
"Stype",GrowthType!$C$6*(EnemyStatus!$R37-1))</f>
        <v>119</v>
      </c>
      <c r="L37" s="5" cm="1">
        <f t="array" ref="L37">PlayerStatus!L37+_xlfn.SWITCH($O37,
"Balance",GrowthType!$D$2*(EnemyStatus!$R37-1),
"Atype",GrowthType!$D$3*(EnemyStatus!$R37-1),
"Dtype",GrowthType!$D$4*(EnemyStatus!$R37-1),
"Itype",GrowthType!$D$5*(EnemyStatus!$R37-1),
"Stype",GrowthType!$D$6*(EnemyStatus!$R37-1))</f>
        <v>118</v>
      </c>
      <c r="M37" s="5" cm="1">
        <f t="array" ref="M37">PlayerStatus!M37+_xlfn.SWITCH($O37,
"Balance",GrowthType!$E$2*(EnemyStatus!$R37-1),
"Atype",GrowthType!$E$3*(EnemyStatus!$R37-1),
"Dtype",GrowthType!$E$4*(EnemyStatus!$R37-1),
"Itype",GrowthType!$E$5*(EnemyStatus!$R37-1),
"Stype",GrowthType!$E$6*(EnemyStatus!$R37-1))</f>
        <v>195</v>
      </c>
      <c r="N37" s="5" cm="1">
        <f t="array" ref="N37">PlayerStatus!N37+_xlfn.SWITCH($O37,
"Balance",GrowthType!$F$2*(EnemyStatus!$R37-1),
"Atype",GrowthType!$F$3*(EnemyStatus!$R37-1),
"Dtype",GrowthType!$F$4*(EnemyStatus!$R37-1),
"Itype",GrowthType!$F$5*(EnemyStatus!$R37-1),
"Stype",GrowthType!$F$6*(EnemyStatus!$R37-1))</f>
        <v>118</v>
      </c>
      <c r="O37" s="5" t="s">
        <v>8</v>
      </c>
      <c r="P37" s="5" t="s">
        <v>150</v>
      </c>
      <c r="Q37" s="5">
        <v>-1</v>
      </c>
      <c r="R37" s="5">
        <v>20</v>
      </c>
      <c r="S37" s="5">
        <f t="shared" si="3"/>
        <v>69</v>
      </c>
    </row>
    <row r="38" spans="1:19" x14ac:dyDescent="0.55000000000000004">
      <c r="A38" s="5">
        <v>7010</v>
      </c>
      <c r="B38" s="5" t="s">
        <v>156</v>
      </c>
      <c r="C38" s="6" t="s">
        <v>87</v>
      </c>
      <c r="D38" s="5" t="s">
        <v>92</v>
      </c>
      <c r="E38" s="6" t="s">
        <v>91</v>
      </c>
      <c r="F38" s="5" t="s">
        <v>61</v>
      </c>
      <c r="G38" s="6" t="s">
        <v>66</v>
      </c>
      <c r="H38" s="5" t="s">
        <v>73</v>
      </c>
      <c r="I38" s="6" t="s">
        <v>69</v>
      </c>
      <c r="J38" s="5" cm="1">
        <f t="array" ref="J38">PlayerStatus!J38+_xlfn.SWITCH($O38,
"Balance",GrowthType!$B$2*(EnemyStatus!$R38-1),
"Atype",GrowthType!$B$3*(EnemyStatus!$R38-1),
"Dtype",GrowthType!$B$4*(EnemyStatus!$R38-1),
"Itype",GrowthType!$B$5*(EnemyStatus!$R38-1),
"Stype",GrowthType!$B$6*(EnemyStatus!$R38-1))</f>
        <v>800</v>
      </c>
      <c r="K38" s="5" cm="1">
        <f t="array" ref="K38">PlayerStatus!K38+_xlfn.SWITCH($O38,
"Balance",GrowthType!$C$2*(EnemyStatus!$R38-1),
"Atype",GrowthType!$C$3*(EnemyStatus!$R38-1),
"Dtype",GrowthType!$C$4*(EnemyStatus!$R38-1),
"Itype",GrowthType!$C$5*(EnemyStatus!$R38-1),
"Stype",GrowthType!$C$6*(EnemyStatus!$R38-1))</f>
        <v>180</v>
      </c>
      <c r="L38" s="5" cm="1">
        <f t="array" ref="L38">PlayerStatus!L38+_xlfn.SWITCH($O38,
"Balance",GrowthType!$D$2*(EnemyStatus!$R38-1),
"Atype",GrowthType!$D$3*(EnemyStatus!$R38-1),
"Dtype",GrowthType!$D$4*(EnemyStatus!$R38-1),
"Itype",GrowthType!$D$5*(EnemyStatus!$R38-1),
"Stype",GrowthType!$D$6*(EnemyStatus!$R38-1))</f>
        <v>160</v>
      </c>
      <c r="M38" s="5" cm="1">
        <f t="array" ref="M38">PlayerStatus!M38+_xlfn.SWITCH($O38,
"Balance",GrowthType!$E$2*(EnemyStatus!$R38-1),
"Atype",GrowthType!$E$3*(EnemyStatus!$R38-1),
"Dtype",GrowthType!$E$4*(EnemyStatus!$R38-1),
"Itype",GrowthType!$E$5*(EnemyStatus!$R38-1),
"Stype",GrowthType!$E$6*(EnemyStatus!$R38-1))</f>
        <v>90</v>
      </c>
      <c r="N38" s="5" cm="1">
        <f t="array" ref="N38">PlayerStatus!N38+_xlfn.SWITCH($O38,
"Balance",GrowthType!$F$2*(EnemyStatus!$R38-1),
"Atype",GrowthType!$F$3*(EnemyStatus!$R38-1),
"Dtype",GrowthType!$F$4*(EnemyStatus!$R38-1),
"Itype",GrowthType!$F$5*(EnemyStatus!$R38-1),
"Stype",GrowthType!$F$6*(EnemyStatus!$R38-1))</f>
        <v>120</v>
      </c>
      <c r="O38" s="5" t="s">
        <v>10</v>
      </c>
      <c r="P38" s="5" t="s">
        <v>147</v>
      </c>
      <c r="Q38" s="5">
        <v>-1</v>
      </c>
      <c r="R38" s="5">
        <v>21</v>
      </c>
      <c r="S38" s="5">
        <f t="shared" si="3"/>
        <v>70</v>
      </c>
    </row>
    <row r="39" spans="1:19" x14ac:dyDescent="0.55000000000000004">
      <c r="A39" s="5">
        <v>7011</v>
      </c>
      <c r="B39" s="5" t="s">
        <v>157</v>
      </c>
      <c r="C39" s="6" t="s">
        <v>81</v>
      </c>
      <c r="D39" s="5" t="s">
        <v>92</v>
      </c>
      <c r="E39" s="6" t="s">
        <v>91</v>
      </c>
      <c r="F39" s="5" t="s">
        <v>61</v>
      </c>
      <c r="G39" s="6" t="s">
        <v>66</v>
      </c>
      <c r="H39" s="5" t="s">
        <v>75</v>
      </c>
      <c r="I39" s="6" t="s">
        <v>71</v>
      </c>
      <c r="J39" s="5" cm="1">
        <f t="array" ref="J39">PlayerStatus!J39+_xlfn.SWITCH($O39,
"Balance",GrowthType!$B$2*(EnemyStatus!$R39-1),
"Atype",GrowthType!$B$3*(EnemyStatus!$R39-1),
"Dtype",GrowthType!$B$4*(EnemyStatus!$R39-1),
"Itype",GrowthType!$B$5*(EnemyStatus!$R39-1),
"Stype",GrowthType!$B$6*(EnemyStatus!$R39-1))</f>
        <v>660</v>
      </c>
      <c r="K39" s="5" cm="1">
        <f t="array" ref="K39">PlayerStatus!K39+_xlfn.SWITCH($O39,
"Balance",GrowthType!$C$2*(EnemyStatus!$R39-1),
"Atype",GrowthType!$C$3*(EnemyStatus!$R39-1),
"Dtype",GrowthType!$C$4*(EnemyStatus!$R39-1),
"Itype",GrowthType!$C$5*(EnemyStatus!$R39-1),
"Stype",GrowthType!$C$6*(EnemyStatus!$R39-1))</f>
        <v>121</v>
      </c>
      <c r="L39" s="5" cm="1">
        <f t="array" ref="L39">PlayerStatus!L39+_xlfn.SWITCH($O39,
"Balance",GrowthType!$D$2*(EnemyStatus!$R39-1),
"Atype",GrowthType!$D$3*(EnemyStatus!$R39-1),
"Dtype",GrowthType!$D$4*(EnemyStatus!$R39-1),
"Itype",GrowthType!$D$5*(EnemyStatus!$R39-1),
"Stype",GrowthType!$D$6*(EnemyStatus!$R39-1))</f>
        <v>112</v>
      </c>
      <c r="M39" s="5" cm="1">
        <f t="array" ref="M39">PlayerStatus!M39+_xlfn.SWITCH($O39,
"Balance",GrowthType!$E$2*(EnemyStatus!$R39-1),
"Atype",GrowthType!$E$3*(EnemyStatus!$R39-1),
"Dtype",GrowthType!$E$4*(EnemyStatus!$R39-1),
"Itype",GrowthType!$E$5*(EnemyStatus!$R39-1),
"Stype",GrowthType!$E$6*(EnemyStatus!$R39-1))</f>
        <v>205</v>
      </c>
      <c r="N39" s="5" cm="1">
        <f t="array" ref="N39">PlayerStatus!N39+_xlfn.SWITCH($O39,
"Balance",GrowthType!$F$2*(EnemyStatus!$R39-1),
"Atype",GrowthType!$F$3*(EnemyStatus!$R39-1),
"Dtype",GrowthType!$F$4*(EnemyStatus!$R39-1),
"Itype",GrowthType!$F$5*(EnemyStatus!$R39-1),
"Stype",GrowthType!$F$6*(EnemyStatus!$R39-1))</f>
        <v>122</v>
      </c>
      <c r="O39" s="5" t="s">
        <v>8</v>
      </c>
      <c r="P39" s="5" t="s">
        <v>150</v>
      </c>
      <c r="Q39" s="5">
        <v>-1</v>
      </c>
      <c r="R39" s="5">
        <v>22</v>
      </c>
      <c r="S39" s="5">
        <f t="shared" si="3"/>
        <v>71</v>
      </c>
    </row>
    <row r="40" spans="1:19" x14ac:dyDescent="0.55000000000000004">
      <c r="A40" s="5">
        <v>7012</v>
      </c>
      <c r="B40" s="5" t="s">
        <v>158</v>
      </c>
      <c r="C40" s="6" t="s">
        <v>82</v>
      </c>
      <c r="D40" s="5" t="s">
        <v>92</v>
      </c>
      <c r="E40" s="6" t="s">
        <v>91</v>
      </c>
      <c r="F40" s="5" t="s">
        <v>62</v>
      </c>
      <c r="G40" s="6" t="s">
        <v>67</v>
      </c>
      <c r="H40" s="5" t="s">
        <v>73</v>
      </c>
      <c r="I40" s="6" t="s">
        <v>69</v>
      </c>
      <c r="J40" s="5" cm="1">
        <f t="array" ref="J40">PlayerStatus!J40+_xlfn.SWITCH($O40,
"Balance",GrowthType!$B$2*(EnemyStatus!$R40-1),
"Atype",GrowthType!$B$3*(EnemyStatus!$R40-1),
"Dtype",GrowthType!$B$4*(EnemyStatus!$R40-1),
"Itype",GrowthType!$B$5*(EnemyStatus!$R40-1),
"Stype",GrowthType!$B$6*(EnemyStatus!$R40-1))</f>
        <v>740</v>
      </c>
      <c r="K40" s="5" cm="1">
        <f t="array" ref="K40">PlayerStatus!K40+_xlfn.SWITCH($O40,
"Balance",GrowthType!$C$2*(EnemyStatus!$R40-1),
"Atype",GrowthType!$C$3*(EnemyStatus!$R40-1),
"Dtype",GrowthType!$C$4*(EnemyStatus!$R40-1),
"Itype",GrowthType!$C$5*(EnemyStatus!$R40-1),
"Stype",GrowthType!$C$6*(EnemyStatus!$R40-1))</f>
        <v>244</v>
      </c>
      <c r="L40" s="5" cm="1">
        <f t="array" ref="L40">PlayerStatus!L40+_xlfn.SWITCH($O40,
"Balance",GrowthType!$D$2*(EnemyStatus!$R40-1),
"Atype",GrowthType!$D$3*(EnemyStatus!$R40-1),
"Dtype",GrowthType!$D$4*(EnemyStatus!$R40-1),
"Itype",GrowthType!$D$5*(EnemyStatus!$R40-1),
"Stype",GrowthType!$D$6*(EnemyStatus!$R40-1))</f>
        <v>138</v>
      </c>
      <c r="M40" s="5" cm="1">
        <f t="array" ref="M40">PlayerStatus!M40+_xlfn.SWITCH($O40,
"Balance",GrowthType!$E$2*(EnemyStatus!$R40-1),
"Atype",GrowthType!$E$3*(EnemyStatus!$R40-1),
"Dtype",GrowthType!$E$4*(EnemyStatus!$R40-1),
"Itype",GrowthType!$E$5*(EnemyStatus!$R40-1),
"Stype",GrowthType!$E$6*(EnemyStatus!$R40-1))</f>
        <v>80</v>
      </c>
      <c r="N40" s="5" cm="1">
        <f t="array" ref="N40">PlayerStatus!N40+_xlfn.SWITCH($O40,
"Balance",GrowthType!$F$2*(EnemyStatus!$R40-1),
"Atype",GrowthType!$F$3*(EnemyStatus!$R40-1),
"Dtype",GrowthType!$F$4*(EnemyStatus!$R40-1),
"Itype",GrowthType!$F$5*(EnemyStatus!$R40-1),
"Stype",GrowthType!$F$6*(EnemyStatus!$R40-1))</f>
        <v>128</v>
      </c>
      <c r="O40" s="5" t="s">
        <v>6</v>
      </c>
      <c r="P40" s="5" t="s">
        <v>148</v>
      </c>
      <c r="Q40" s="5">
        <v>-1</v>
      </c>
      <c r="R40" s="5">
        <v>25</v>
      </c>
      <c r="S40" s="5">
        <f t="shared" si="3"/>
        <v>74</v>
      </c>
    </row>
    <row r="41" spans="1:19" x14ac:dyDescent="0.55000000000000004">
      <c r="A41" s="5">
        <v>7013</v>
      </c>
      <c r="B41" s="5" t="s">
        <v>159</v>
      </c>
      <c r="C41" s="6" t="s">
        <v>77</v>
      </c>
      <c r="D41" s="5" t="s">
        <v>92</v>
      </c>
      <c r="E41" s="6" t="s">
        <v>91</v>
      </c>
      <c r="F41" s="5" t="s">
        <v>61</v>
      </c>
      <c r="G41" s="6" t="s">
        <v>66</v>
      </c>
      <c r="H41" s="5" t="s">
        <v>73</v>
      </c>
      <c r="I41" s="6" t="s">
        <v>69</v>
      </c>
      <c r="J41" s="5" cm="1">
        <f t="array" ref="J41">PlayerStatus!J41+_xlfn.SWITCH($O41,
"Balance",GrowthType!$B$2*(EnemyStatus!$R41-1),
"Atype",GrowthType!$B$3*(EnemyStatus!$R41-1),
"Dtype",GrowthType!$B$4*(EnemyStatus!$R41-1),
"Itype",GrowthType!$B$5*(EnemyStatus!$R41-1),
"Stype",GrowthType!$B$6*(EnemyStatus!$R41-1))</f>
        <v>750</v>
      </c>
      <c r="K41" s="5" cm="1">
        <f t="array" ref="K41">PlayerStatus!K41+_xlfn.SWITCH($O41,
"Balance",GrowthType!$C$2*(EnemyStatus!$R41-1),
"Atype",GrowthType!$C$3*(EnemyStatus!$R41-1),
"Dtype",GrowthType!$C$4*(EnemyStatus!$R41-1),
"Itype",GrowthType!$C$5*(EnemyStatus!$R41-1),
"Stype",GrowthType!$C$6*(EnemyStatus!$R41-1))</f>
        <v>257</v>
      </c>
      <c r="L41" s="5" cm="1">
        <f t="array" ref="L41">PlayerStatus!L41+_xlfn.SWITCH($O41,
"Balance",GrowthType!$D$2*(EnemyStatus!$R41-1),
"Atype",GrowthType!$D$3*(EnemyStatus!$R41-1),
"Dtype",GrowthType!$D$4*(EnemyStatus!$R41-1),
"Itype",GrowthType!$D$5*(EnemyStatus!$R41-1),
"Stype",GrowthType!$D$6*(EnemyStatus!$R41-1))</f>
        <v>138</v>
      </c>
      <c r="M41" s="5" cm="1">
        <f t="array" ref="M41">PlayerStatus!M41+_xlfn.SWITCH($O41,
"Balance",GrowthType!$E$2*(EnemyStatus!$R41-1),
"Atype",GrowthType!$E$3*(EnemyStatus!$R41-1),
"Dtype",GrowthType!$E$4*(EnemyStatus!$R41-1),
"Itype",GrowthType!$E$5*(EnemyStatus!$R41-1),
"Stype",GrowthType!$E$6*(EnemyStatus!$R41-1))</f>
        <v>81</v>
      </c>
      <c r="N41" s="5" cm="1">
        <f t="array" ref="N41">PlayerStatus!N41+_xlfn.SWITCH($O41,
"Balance",GrowthType!$F$2*(EnemyStatus!$R41-1),
"Atype",GrowthType!$F$3*(EnemyStatus!$R41-1),
"Dtype",GrowthType!$F$4*(EnemyStatus!$R41-1),
"Itype",GrowthType!$F$5*(EnemyStatus!$R41-1),
"Stype",GrowthType!$F$6*(EnemyStatus!$R41-1))</f>
        <v>124</v>
      </c>
      <c r="O41" s="5" t="s">
        <v>6</v>
      </c>
      <c r="P41" s="5" t="s">
        <v>148</v>
      </c>
      <c r="Q41" s="5">
        <v>-1</v>
      </c>
      <c r="R41" s="5">
        <v>26</v>
      </c>
      <c r="S41" s="5">
        <f t="shared" si="3"/>
        <v>75</v>
      </c>
    </row>
    <row r="42" spans="1:19" x14ac:dyDescent="0.55000000000000004">
      <c r="A42" s="5">
        <v>7014</v>
      </c>
      <c r="B42" s="5" t="s">
        <v>160</v>
      </c>
      <c r="C42" s="6" t="s">
        <v>84</v>
      </c>
      <c r="D42" s="5" t="s">
        <v>92</v>
      </c>
      <c r="E42" s="6" t="s">
        <v>91</v>
      </c>
      <c r="F42" s="5" t="s">
        <v>59</v>
      </c>
      <c r="G42" s="6" t="s">
        <v>64</v>
      </c>
      <c r="H42" s="5" t="s">
        <v>76</v>
      </c>
      <c r="I42" s="6" t="s">
        <v>72</v>
      </c>
      <c r="J42" s="5" cm="1">
        <f t="array" ref="J42">PlayerStatus!J42+_xlfn.SWITCH($O42,
"Balance",GrowthType!$B$2*(EnemyStatus!$R42-1),
"Atype",GrowthType!$B$3*(EnemyStatus!$R42-1),
"Dtype",GrowthType!$B$4*(EnemyStatus!$R42-1),
"Itype",GrowthType!$B$5*(EnemyStatus!$R42-1),
"Stype",GrowthType!$B$6*(EnemyStatus!$R42-1))</f>
        <v>550</v>
      </c>
      <c r="K42" s="5" cm="1">
        <f t="array" ref="K42">PlayerStatus!K42+_xlfn.SWITCH($O42,
"Balance",GrowthType!$C$2*(EnemyStatus!$R42-1),
"Atype",GrowthType!$C$3*(EnemyStatus!$R42-1),
"Dtype",GrowthType!$C$4*(EnemyStatus!$R42-1),
"Itype",GrowthType!$C$5*(EnemyStatus!$R42-1),
"Stype",GrowthType!$C$6*(EnemyStatus!$R42-1))</f>
        <v>122</v>
      </c>
      <c r="L42" s="5" cm="1">
        <f t="array" ref="L42">PlayerStatus!L42+_xlfn.SWITCH($O42,
"Balance",GrowthType!$D$2*(EnemyStatus!$R42-1),
"Atype",GrowthType!$D$3*(EnemyStatus!$R42-1),
"Dtype",GrowthType!$D$4*(EnemyStatus!$R42-1),
"Itype",GrowthType!$D$5*(EnemyStatus!$R42-1),
"Stype",GrowthType!$D$6*(EnemyStatus!$R42-1))</f>
        <v>96</v>
      </c>
      <c r="M42" s="5" cm="1">
        <f t="array" ref="M42">PlayerStatus!M42+_xlfn.SWITCH($O42,
"Balance",GrowthType!$E$2*(EnemyStatus!$R42-1),
"Atype",GrowthType!$E$3*(EnemyStatus!$R42-1),
"Dtype",GrowthType!$E$4*(EnemyStatus!$R42-1),
"Itype",GrowthType!$E$5*(EnemyStatus!$R42-1),
"Stype",GrowthType!$E$6*(EnemyStatus!$R42-1))</f>
        <v>122</v>
      </c>
      <c r="N42" s="5" cm="1">
        <f t="array" ref="N42">PlayerStatus!N42+_xlfn.SWITCH($O42,
"Balance",GrowthType!$F$2*(EnemyStatus!$R42-1),
"Atype",GrowthType!$F$3*(EnemyStatus!$R42-1),
"Dtype",GrowthType!$F$4*(EnemyStatus!$R42-1),
"Itype",GrowthType!$F$5*(EnemyStatus!$R42-1),
"Stype",GrowthType!$F$6*(EnemyStatus!$R42-1))</f>
        <v>170</v>
      </c>
      <c r="O42" s="5" t="s">
        <v>9</v>
      </c>
      <c r="P42" s="5" t="s">
        <v>151</v>
      </c>
      <c r="Q42" s="5">
        <v>-1</v>
      </c>
      <c r="R42" s="5">
        <v>17</v>
      </c>
      <c r="S42" s="5">
        <f t="shared" si="3"/>
        <v>66</v>
      </c>
    </row>
    <row r="43" spans="1:19" x14ac:dyDescent="0.55000000000000004">
      <c r="A43" s="5">
        <v>7015</v>
      </c>
      <c r="B43" s="5" t="s">
        <v>161</v>
      </c>
      <c r="C43" s="6" t="s">
        <v>88</v>
      </c>
      <c r="D43" s="5" t="s">
        <v>92</v>
      </c>
      <c r="E43" s="6" t="s">
        <v>91</v>
      </c>
      <c r="F43" s="5" t="s">
        <v>61</v>
      </c>
      <c r="G43" s="6" t="s">
        <v>66</v>
      </c>
      <c r="H43" s="5" t="s">
        <v>74</v>
      </c>
      <c r="I43" s="6" t="s">
        <v>70</v>
      </c>
      <c r="J43" s="5" cm="1">
        <f t="array" ref="J43">PlayerStatus!J43+_xlfn.SWITCH($O43,
"Balance",GrowthType!$B$2*(EnemyStatus!$R43-1),
"Atype",GrowthType!$B$3*(EnemyStatus!$R43-1),
"Dtype",GrowthType!$B$4*(EnemyStatus!$R43-1),
"Itype",GrowthType!$B$5*(EnemyStatus!$R43-1),
"Stype",GrowthType!$B$6*(EnemyStatus!$R43-1))</f>
        <v>1100</v>
      </c>
      <c r="K43" s="5" cm="1">
        <f t="array" ref="K43">PlayerStatus!K43+_xlfn.SWITCH($O43,
"Balance",GrowthType!$C$2*(EnemyStatus!$R43-1),
"Atype",GrowthType!$C$3*(EnemyStatus!$R43-1),
"Dtype",GrowthType!$C$4*(EnemyStatus!$R43-1),
"Itype",GrowthType!$C$5*(EnemyStatus!$R43-1),
"Stype",GrowthType!$C$6*(EnemyStatus!$R43-1))</f>
        <v>134</v>
      </c>
      <c r="L43" s="5" cm="1">
        <f t="array" ref="L43">PlayerStatus!L43+_xlfn.SWITCH($O43,
"Balance",GrowthType!$D$2*(EnemyStatus!$R43-1),
"Atype",GrowthType!$D$3*(EnemyStatus!$R43-1),
"Dtype",GrowthType!$D$4*(EnemyStatus!$R43-1),
"Itype",GrowthType!$D$5*(EnemyStatus!$R43-1),
"Stype",GrowthType!$D$6*(EnemyStatus!$R43-1))</f>
        <v>260</v>
      </c>
      <c r="M43" s="5" cm="1">
        <f t="array" ref="M43">PlayerStatus!M43+_xlfn.SWITCH($O43,
"Balance",GrowthType!$E$2*(EnemyStatus!$R43-1),
"Atype",GrowthType!$E$3*(EnemyStatus!$R43-1),
"Dtype",GrowthType!$E$4*(EnemyStatus!$R43-1),
"Itype",GrowthType!$E$5*(EnemyStatus!$R43-1),
"Stype",GrowthType!$E$6*(EnemyStatus!$R43-1))</f>
        <v>94</v>
      </c>
      <c r="N43" s="5" cm="1">
        <f t="array" ref="N43">PlayerStatus!N43+_xlfn.SWITCH($O43,
"Balance",GrowthType!$F$2*(EnemyStatus!$R43-1),
"Atype",GrowthType!$F$3*(EnemyStatus!$R43-1),
"Dtype",GrowthType!$F$4*(EnemyStatus!$R43-1),
"Itype",GrowthType!$F$5*(EnemyStatus!$R43-1),
"Stype",GrowthType!$F$6*(EnemyStatus!$R43-1))</f>
        <v>82</v>
      </c>
      <c r="O43" s="5" t="s">
        <v>7</v>
      </c>
      <c r="P43" s="5" t="s">
        <v>149</v>
      </c>
      <c r="Q43" s="5">
        <v>-1</v>
      </c>
      <c r="R43" s="5">
        <v>23</v>
      </c>
      <c r="S43" s="5">
        <f t="shared" si="3"/>
        <v>72</v>
      </c>
    </row>
    <row r="44" spans="1:19" x14ac:dyDescent="0.55000000000000004">
      <c r="A44" s="5">
        <v>7016</v>
      </c>
      <c r="B44" s="5" t="s">
        <v>162</v>
      </c>
      <c r="C44" s="6" t="s">
        <v>90</v>
      </c>
      <c r="D44" s="5" t="s">
        <v>92</v>
      </c>
      <c r="E44" s="6" t="s">
        <v>91</v>
      </c>
      <c r="F44" s="5" t="s">
        <v>59</v>
      </c>
      <c r="G44" s="6" t="s">
        <v>64</v>
      </c>
      <c r="H44" s="5" t="s">
        <v>73</v>
      </c>
      <c r="I44" s="6" t="s">
        <v>69</v>
      </c>
      <c r="J44" s="5" cm="1">
        <f t="array" ref="J44">PlayerStatus!J44+_xlfn.SWITCH($O44,
"Balance",GrowthType!$B$2*(EnemyStatus!$R44-1),
"Atype",GrowthType!$B$3*(EnemyStatus!$R44-1),
"Dtype",GrowthType!$B$4*(EnemyStatus!$R44-1),
"Itype",GrowthType!$B$5*(EnemyStatus!$R44-1),
"Stype",GrowthType!$B$6*(EnemyStatus!$R44-1))</f>
        <v>845</v>
      </c>
      <c r="K44" s="5" cm="1">
        <f t="array" ref="K44">PlayerStatus!K44+_xlfn.SWITCH($O44,
"Balance",GrowthType!$C$2*(EnemyStatus!$R44-1),
"Atype",GrowthType!$C$3*(EnemyStatus!$R44-1),
"Dtype",GrowthType!$C$4*(EnemyStatus!$R44-1),
"Itype",GrowthType!$C$5*(EnemyStatus!$R44-1),
"Stype",GrowthType!$C$6*(EnemyStatus!$R44-1))</f>
        <v>194</v>
      </c>
      <c r="L44" s="5" cm="1">
        <f t="array" ref="L44">PlayerStatus!L44+_xlfn.SWITCH($O44,
"Balance",GrowthType!$D$2*(EnemyStatus!$R44-1),
"Atype",GrowthType!$D$3*(EnemyStatus!$R44-1),
"Dtype",GrowthType!$D$4*(EnemyStatus!$R44-1),
"Itype",GrowthType!$D$5*(EnemyStatus!$R44-1),
"Stype",GrowthType!$D$6*(EnemyStatus!$R44-1))</f>
        <v>164</v>
      </c>
      <c r="M44" s="5" cm="1">
        <f t="array" ref="M44">PlayerStatus!M44+_xlfn.SWITCH($O44,
"Balance",GrowthType!$E$2*(EnemyStatus!$R44-1),
"Atype",GrowthType!$E$3*(EnemyStatus!$R44-1),
"Dtype",GrowthType!$E$4*(EnemyStatus!$R44-1),
"Itype",GrowthType!$E$5*(EnemyStatus!$R44-1),
"Stype",GrowthType!$E$6*(EnemyStatus!$R44-1))</f>
        <v>102</v>
      </c>
      <c r="N44" s="5" cm="1">
        <f t="array" ref="N44">PlayerStatus!N44+_xlfn.SWITCH($O44,
"Balance",GrowthType!$F$2*(EnemyStatus!$R44-1),
"Atype",GrowthType!$F$3*(EnemyStatus!$R44-1),
"Dtype",GrowthType!$F$4*(EnemyStatus!$R44-1),
"Itype",GrowthType!$F$5*(EnemyStatus!$R44-1),
"Stype",GrowthType!$F$6*(EnemyStatus!$R44-1))</f>
        <v>120</v>
      </c>
      <c r="O44" s="5" t="s">
        <v>10</v>
      </c>
      <c r="P44" s="5" t="s">
        <v>147</v>
      </c>
      <c r="Q44" s="5">
        <v>-1</v>
      </c>
      <c r="R44" s="5">
        <v>24</v>
      </c>
      <c r="S44" s="5">
        <f t="shared" si="3"/>
        <v>73</v>
      </c>
    </row>
    <row r="45" spans="1:19" x14ac:dyDescent="0.55000000000000004">
      <c r="A45" s="5">
        <v>7017</v>
      </c>
      <c r="B45" s="5" t="s">
        <v>133</v>
      </c>
      <c r="C45" s="6" t="s">
        <v>83</v>
      </c>
      <c r="D45" s="5" t="s">
        <v>92</v>
      </c>
      <c r="E45" s="6" t="s">
        <v>91</v>
      </c>
      <c r="F45" s="5" t="s">
        <v>62</v>
      </c>
      <c r="G45" s="6" t="s">
        <v>67</v>
      </c>
      <c r="H45" s="5" t="s">
        <v>74</v>
      </c>
      <c r="I45" s="6" t="s">
        <v>70</v>
      </c>
      <c r="J45" s="5" cm="1">
        <f t="array" ref="J45">PlayerStatus!J45+_xlfn.SWITCH($O45,
"Balance",GrowthType!$B$2*(EnemyStatus!$R45-1),
"Atype",GrowthType!$B$3*(EnemyStatus!$R45-1),
"Dtype",GrowthType!$B$4*(EnemyStatus!$R45-1),
"Itype",GrowthType!$B$5*(EnemyStatus!$R45-1),
"Stype",GrowthType!$B$6*(EnemyStatus!$R45-1))</f>
        <v>770</v>
      </c>
      <c r="K45" s="5" cm="1">
        <f t="array" ref="K45">PlayerStatus!K45+_xlfn.SWITCH($O45,
"Balance",GrowthType!$C$2*(EnemyStatus!$R45-1),
"Atype",GrowthType!$C$3*(EnemyStatus!$R45-1),
"Dtype",GrowthType!$C$4*(EnemyStatus!$R45-1),
"Itype",GrowthType!$C$5*(EnemyStatus!$R45-1),
"Stype",GrowthType!$C$6*(EnemyStatus!$R45-1))</f>
        <v>127</v>
      </c>
      <c r="L45" s="5" cm="1">
        <f t="array" ref="L45">PlayerStatus!L45+_xlfn.SWITCH($O45,
"Balance",GrowthType!$D$2*(EnemyStatus!$R45-1),
"Atype",GrowthType!$D$3*(EnemyStatus!$R45-1),
"Dtype",GrowthType!$D$4*(EnemyStatus!$R45-1),
"Itype",GrowthType!$D$5*(EnemyStatus!$R45-1),
"Stype",GrowthType!$D$6*(EnemyStatus!$R45-1))</f>
        <v>154</v>
      </c>
      <c r="M45" s="5" cm="1">
        <f t="array" ref="M45">PlayerStatus!M45+_xlfn.SWITCH($O45,
"Balance",GrowthType!$E$2*(EnemyStatus!$R45-1),
"Atype",GrowthType!$E$3*(EnemyStatus!$R45-1),
"Dtype",GrowthType!$E$4*(EnemyStatus!$R45-1),
"Itype",GrowthType!$E$5*(EnemyStatus!$R45-1),
"Stype",GrowthType!$E$6*(EnemyStatus!$R45-1))</f>
        <v>205</v>
      </c>
      <c r="N45" s="5" cm="1">
        <f t="array" ref="N45">PlayerStatus!N45+_xlfn.SWITCH($O45,
"Balance",GrowthType!$F$2*(EnemyStatus!$R45-1),
"Atype",GrowthType!$F$3*(EnemyStatus!$R45-1),
"Dtype",GrowthType!$F$4*(EnemyStatus!$R45-1),
"Itype",GrowthType!$F$5*(EnemyStatus!$R45-1),
"Stype",GrowthType!$F$6*(EnemyStatus!$R45-1))</f>
        <v>124</v>
      </c>
      <c r="O45" s="5" t="s">
        <v>8</v>
      </c>
      <c r="P45" s="5" t="s">
        <v>150</v>
      </c>
      <c r="Q45" s="5">
        <v>-1</v>
      </c>
      <c r="R45" s="5">
        <v>28</v>
      </c>
      <c r="S45" s="5">
        <f t="shared" si="3"/>
        <v>77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2BA1-8205-47AD-8838-8518DB605E8F}">
  <dimension ref="A1:F6"/>
  <sheetViews>
    <sheetView workbookViewId="0">
      <selection activeCell="I19" sqref="I19"/>
    </sheetView>
  </sheetViews>
  <sheetFormatPr defaultRowHeight="17.600000000000001" x14ac:dyDescent="0.55000000000000004"/>
  <cols>
    <col min="1" max="1" width="12.5" customWidth="1"/>
  </cols>
  <sheetData>
    <row r="1" spans="1:6" x14ac:dyDescent="0.55000000000000004">
      <c r="A1" t="s">
        <v>0</v>
      </c>
      <c r="B1" t="s">
        <v>2</v>
      </c>
      <c r="C1" t="s">
        <v>3</v>
      </c>
      <c r="D1" t="s">
        <v>4</v>
      </c>
      <c r="E1" t="s">
        <v>1</v>
      </c>
      <c r="F1" t="s">
        <v>5</v>
      </c>
    </row>
    <row r="2" spans="1:6" x14ac:dyDescent="0.55000000000000004">
      <c r="A2" t="s">
        <v>10</v>
      </c>
      <c r="B2">
        <f>D2*5</f>
        <v>15</v>
      </c>
      <c r="C2">
        <v>3</v>
      </c>
      <c r="D2">
        <v>3</v>
      </c>
      <c r="E2">
        <v>2</v>
      </c>
      <c r="F2">
        <v>2</v>
      </c>
    </row>
    <row r="3" spans="1:6" x14ac:dyDescent="0.55000000000000004">
      <c r="A3" t="s">
        <v>6</v>
      </c>
      <c r="B3">
        <f t="shared" ref="B3:B6" si="0">D3*5</f>
        <v>10</v>
      </c>
      <c r="C3">
        <v>5</v>
      </c>
      <c r="D3">
        <v>2</v>
      </c>
      <c r="E3">
        <v>1</v>
      </c>
      <c r="F3">
        <v>2</v>
      </c>
    </row>
    <row r="4" spans="1:6" x14ac:dyDescent="0.55000000000000004">
      <c r="A4" t="s">
        <v>7</v>
      </c>
      <c r="B4">
        <f t="shared" si="0"/>
        <v>25</v>
      </c>
      <c r="C4">
        <v>2</v>
      </c>
      <c r="D4">
        <v>5</v>
      </c>
      <c r="E4">
        <v>2</v>
      </c>
      <c r="F4">
        <v>1</v>
      </c>
    </row>
    <row r="5" spans="1:6" x14ac:dyDescent="0.55000000000000004">
      <c r="A5" t="s">
        <v>8</v>
      </c>
      <c r="B5">
        <f t="shared" si="0"/>
        <v>10</v>
      </c>
      <c r="C5">
        <v>1</v>
      </c>
      <c r="D5">
        <v>2</v>
      </c>
      <c r="E5">
        <v>5</v>
      </c>
      <c r="F5">
        <v>2</v>
      </c>
    </row>
    <row r="6" spans="1:6" x14ac:dyDescent="0.55000000000000004">
      <c r="A6" t="s">
        <v>9</v>
      </c>
      <c r="B6">
        <f t="shared" si="0"/>
        <v>5</v>
      </c>
      <c r="C6">
        <v>2</v>
      </c>
      <c r="D6">
        <v>1</v>
      </c>
      <c r="E6">
        <v>2</v>
      </c>
      <c r="F6">
        <v>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D1810-2366-44EC-B9BE-BD69FF5162E9}">
  <dimension ref="A1:B60"/>
  <sheetViews>
    <sheetView tabSelected="1" topLeftCell="A38" workbookViewId="0">
      <selection activeCell="B51" sqref="B51"/>
    </sheetView>
  </sheetViews>
  <sheetFormatPr defaultRowHeight="17.600000000000001" x14ac:dyDescent="0.55000000000000004"/>
  <cols>
    <col min="2" max="2" width="10.140625" bestFit="1" customWidth="1"/>
  </cols>
  <sheetData>
    <row r="1" spans="1:2" x14ac:dyDescent="0.55000000000000004">
      <c r="A1" t="s">
        <v>139</v>
      </c>
      <c r="B1" t="s">
        <v>138</v>
      </c>
    </row>
    <row r="2" spans="1:2" x14ac:dyDescent="0.55000000000000004">
      <c r="A2">
        <v>1</v>
      </c>
      <c r="B2">
        <v>10</v>
      </c>
    </row>
    <row r="3" spans="1:2" x14ac:dyDescent="0.55000000000000004">
      <c r="A3">
        <v>2</v>
      </c>
      <c r="B3">
        <v>15</v>
      </c>
    </row>
    <row r="4" spans="1:2" x14ac:dyDescent="0.55000000000000004">
      <c r="A4">
        <v>3</v>
      </c>
      <c r="B4">
        <v>20</v>
      </c>
    </row>
    <row r="5" spans="1:2" x14ac:dyDescent="0.55000000000000004">
      <c r="A5">
        <v>4</v>
      </c>
      <c r="B5">
        <v>25</v>
      </c>
    </row>
    <row r="6" spans="1:2" x14ac:dyDescent="0.55000000000000004">
      <c r="A6">
        <v>5</v>
      </c>
      <c r="B6">
        <v>30</v>
      </c>
    </row>
    <row r="7" spans="1:2" x14ac:dyDescent="0.55000000000000004">
      <c r="A7">
        <v>6</v>
      </c>
      <c r="B7">
        <v>35</v>
      </c>
    </row>
    <row r="8" spans="1:2" x14ac:dyDescent="0.55000000000000004">
      <c r="A8">
        <v>7</v>
      </c>
      <c r="B8">
        <v>40</v>
      </c>
    </row>
    <row r="9" spans="1:2" x14ac:dyDescent="0.55000000000000004">
      <c r="A9">
        <v>8</v>
      </c>
      <c r="B9">
        <v>45</v>
      </c>
    </row>
    <row r="10" spans="1:2" x14ac:dyDescent="0.55000000000000004">
      <c r="A10">
        <v>9</v>
      </c>
      <c r="B10">
        <v>50</v>
      </c>
    </row>
    <row r="11" spans="1:2" x14ac:dyDescent="0.55000000000000004">
      <c r="A11">
        <v>10</v>
      </c>
      <c r="B11">
        <v>55</v>
      </c>
    </row>
    <row r="12" spans="1:2" x14ac:dyDescent="0.55000000000000004">
      <c r="A12">
        <v>11</v>
      </c>
      <c r="B12">
        <v>60</v>
      </c>
    </row>
    <row r="13" spans="1:2" x14ac:dyDescent="0.55000000000000004">
      <c r="A13">
        <v>12</v>
      </c>
      <c r="B13">
        <v>65</v>
      </c>
    </row>
    <row r="14" spans="1:2" x14ac:dyDescent="0.55000000000000004">
      <c r="A14">
        <v>13</v>
      </c>
      <c r="B14">
        <v>70</v>
      </c>
    </row>
    <row r="15" spans="1:2" x14ac:dyDescent="0.55000000000000004">
      <c r="A15">
        <v>14</v>
      </c>
      <c r="B15">
        <v>75</v>
      </c>
    </row>
    <row r="16" spans="1:2" x14ac:dyDescent="0.55000000000000004">
      <c r="A16">
        <v>15</v>
      </c>
      <c r="B16">
        <v>80</v>
      </c>
    </row>
    <row r="17" spans="1:2" x14ac:dyDescent="0.55000000000000004">
      <c r="A17">
        <v>16</v>
      </c>
      <c r="B17">
        <v>85</v>
      </c>
    </row>
    <row r="18" spans="1:2" x14ac:dyDescent="0.55000000000000004">
      <c r="A18">
        <v>17</v>
      </c>
      <c r="B18">
        <v>90</v>
      </c>
    </row>
    <row r="19" spans="1:2" x14ac:dyDescent="0.55000000000000004">
      <c r="A19">
        <v>18</v>
      </c>
      <c r="B19">
        <v>95</v>
      </c>
    </row>
    <row r="20" spans="1:2" x14ac:dyDescent="0.55000000000000004">
      <c r="A20">
        <v>19</v>
      </c>
      <c r="B20">
        <v>100</v>
      </c>
    </row>
    <row r="21" spans="1:2" x14ac:dyDescent="0.55000000000000004">
      <c r="A21">
        <v>20</v>
      </c>
      <c r="B21">
        <v>105</v>
      </c>
    </row>
    <row r="22" spans="1:2" x14ac:dyDescent="0.55000000000000004">
      <c r="A22">
        <v>21</v>
      </c>
      <c r="B22">
        <v>110</v>
      </c>
    </row>
    <row r="23" spans="1:2" x14ac:dyDescent="0.55000000000000004">
      <c r="A23">
        <v>22</v>
      </c>
      <c r="B23">
        <v>115</v>
      </c>
    </row>
    <row r="24" spans="1:2" x14ac:dyDescent="0.55000000000000004">
      <c r="A24">
        <v>23</v>
      </c>
      <c r="B24">
        <v>120</v>
      </c>
    </row>
    <row r="25" spans="1:2" x14ac:dyDescent="0.55000000000000004">
      <c r="A25">
        <v>24</v>
      </c>
      <c r="B25">
        <v>125</v>
      </c>
    </row>
    <row r="26" spans="1:2" x14ac:dyDescent="0.55000000000000004">
      <c r="A26">
        <v>25</v>
      </c>
      <c r="B26">
        <v>130</v>
      </c>
    </row>
    <row r="27" spans="1:2" x14ac:dyDescent="0.55000000000000004">
      <c r="A27">
        <v>26</v>
      </c>
      <c r="B27">
        <v>135</v>
      </c>
    </row>
    <row r="28" spans="1:2" x14ac:dyDescent="0.55000000000000004">
      <c r="A28">
        <v>27</v>
      </c>
      <c r="B28">
        <v>140</v>
      </c>
    </row>
    <row r="29" spans="1:2" x14ac:dyDescent="0.55000000000000004">
      <c r="A29">
        <v>28</v>
      </c>
      <c r="B29">
        <v>145</v>
      </c>
    </row>
    <row r="30" spans="1:2" x14ac:dyDescent="0.55000000000000004">
      <c r="A30">
        <v>29</v>
      </c>
      <c r="B30">
        <v>150</v>
      </c>
    </row>
    <row r="31" spans="1:2" x14ac:dyDescent="0.55000000000000004">
      <c r="A31">
        <v>30</v>
      </c>
      <c r="B31">
        <v>155</v>
      </c>
    </row>
    <row r="32" spans="1:2" x14ac:dyDescent="0.55000000000000004">
      <c r="A32">
        <v>31</v>
      </c>
      <c r="B32">
        <v>160</v>
      </c>
    </row>
    <row r="33" spans="1:2" x14ac:dyDescent="0.55000000000000004">
      <c r="A33">
        <v>32</v>
      </c>
      <c r="B33">
        <v>165</v>
      </c>
    </row>
    <row r="34" spans="1:2" x14ac:dyDescent="0.55000000000000004">
      <c r="A34">
        <v>33</v>
      </c>
      <c r="B34">
        <v>170</v>
      </c>
    </row>
    <row r="35" spans="1:2" x14ac:dyDescent="0.55000000000000004">
      <c r="A35">
        <v>34</v>
      </c>
      <c r="B35">
        <v>175</v>
      </c>
    </row>
    <row r="36" spans="1:2" x14ac:dyDescent="0.55000000000000004">
      <c r="A36">
        <v>35</v>
      </c>
      <c r="B36">
        <v>180</v>
      </c>
    </row>
    <row r="37" spans="1:2" x14ac:dyDescent="0.55000000000000004">
      <c r="A37">
        <v>36</v>
      </c>
      <c r="B37">
        <v>185</v>
      </c>
    </row>
    <row r="38" spans="1:2" x14ac:dyDescent="0.55000000000000004">
      <c r="A38">
        <v>37</v>
      </c>
      <c r="B38">
        <v>190</v>
      </c>
    </row>
    <row r="39" spans="1:2" x14ac:dyDescent="0.55000000000000004">
      <c r="A39">
        <v>38</v>
      </c>
      <c r="B39">
        <v>195</v>
      </c>
    </row>
    <row r="40" spans="1:2" x14ac:dyDescent="0.55000000000000004">
      <c r="A40">
        <v>39</v>
      </c>
      <c r="B40">
        <v>200</v>
      </c>
    </row>
    <row r="41" spans="1:2" x14ac:dyDescent="0.55000000000000004">
      <c r="A41">
        <v>40</v>
      </c>
      <c r="B41">
        <v>205</v>
      </c>
    </row>
    <row r="42" spans="1:2" x14ac:dyDescent="0.55000000000000004">
      <c r="A42">
        <v>41</v>
      </c>
      <c r="B42">
        <v>210</v>
      </c>
    </row>
    <row r="43" spans="1:2" x14ac:dyDescent="0.55000000000000004">
      <c r="A43">
        <v>42</v>
      </c>
      <c r="B43">
        <v>215</v>
      </c>
    </row>
    <row r="44" spans="1:2" x14ac:dyDescent="0.55000000000000004">
      <c r="A44">
        <v>43</v>
      </c>
      <c r="B44">
        <v>220</v>
      </c>
    </row>
    <row r="45" spans="1:2" x14ac:dyDescent="0.55000000000000004">
      <c r="A45">
        <v>44</v>
      </c>
      <c r="B45">
        <v>225</v>
      </c>
    </row>
    <row r="46" spans="1:2" x14ac:dyDescent="0.55000000000000004">
      <c r="A46">
        <v>45</v>
      </c>
      <c r="B46">
        <v>230</v>
      </c>
    </row>
    <row r="47" spans="1:2" x14ac:dyDescent="0.55000000000000004">
      <c r="A47">
        <v>46</v>
      </c>
      <c r="B47">
        <v>235</v>
      </c>
    </row>
    <row r="48" spans="1:2" x14ac:dyDescent="0.55000000000000004">
      <c r="A48">
        <v>47</v>
      </c>
      <c r="B48">
        <v>240</v>
      </c>
    </row>
    <row r="49" spans="1:2" x14ac:dyDescent="0.55000000000000004">
      <c r="A49">
        <v>48</v>
      </c>
      <c r="B49">
        <v>245</v>
      </c>
    </row>
    <row r="50" spans="1:2" x14ac:dyDescent="0.55000000000000004">
      <c r="A50">
        <v>49</v>
      </c>
      <c r="B50">
        <v>250</v>
      </c>
    </row>
    <row r="51" spans="1:2" x14ac:dyDescent="0.55000000000000004">
      <c r="A51">
        <v>50</v>
      </c>
      <c r="B51">
        <v>255</v>
      </c>
    </row>
    <row r="52" spans="1:2" x14ac:dyDescent="0.55000000000000004">
      <c r="A52">
        <v>51</v>
      </c>
      <c r="B52">
        <v>999999999</v>
      </c>
    </row>
    <row r="53" spans="1:2" x14ac:dyDescent="0.55000000000000004">
      <c r="A53">
        <v>52</v>
      </c>
      <c r="B53">
        <v>999999999</v>
      </c>
    </row>
    <row r="54" spans="1:2" x14ac:dyDescent="0.55000000000000004">
      <c r="A54">
        <v>53</v>
      </c>
      <c r="B54">
        <v>999999999</v>
      </c>
    </row>
    <row r="55" spans="1:2" x14ac:dyDescent="0.55000000000000004">
      <c r="A55">
        <v>54</v>
      </c>
      <c r="B55">
        <v>999999999</v>
      </c>
    </row>
    <row r="56" spans="1:2" x14ac:dyDescent="0.55000000000000004">
      <c r="A56">
        <v>55</v>
      </c>
      <c r="B56">
        <v>999999999</v>
      </c>
    </row>
    <row r="57" spans="1:2" x14ac:dyDescent="0.55000000000000004">
      <c r="A57">
        <v>56</v>
      </c>
      <c r="B57">
        <v>999999999</v>
      </c>
    </row>
    <row r="58" spans="1:2" x14ac:dyDescent="0.55000000000000004">
      <c r="A58">
        <v>57</v>
      </c>
      <c r="B58">
        <v>999999999</v>
      </c>
    </row>
    <row r="59" spans="1:2" x14ac:dyDescent="0.55000000000000004">
      <c r="A59">
        <v>58</v>
      </c>
      <c r="B59">
        <v>999999999</v>
      </c>
    </row>
    <row r="60" spans="1:2" x14ac:dyDescent="0.55000000000000004">
      <c r="A60">
        <v>59</v>
      </c>
      <c r="B60">
        <v>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67D69-119D-4978-A127-32FDD4C2E081}">
  <dimension ref="A1:S47"/>
  <sheetViews>
    <sheetView topLeftCell="A19" workbookViewId="0">
      <selection activeCell="F15" sqref="F15"/>
    </sheetView>
  </sheetViews>
  <sheetFormatPr defaultRowHeight="17.600000000000001" x14ac:dyDescent="0.55000000000000004"/>
  <sheetData>
    <row r="1" spans="1:19" x14ac:dyDescent="0.55000000000000004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57</v>
      </c>
      <c r="H1" t="s">
        <v>29</v>
      </c>
      <c r="I1" t="s">
        <v>68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0</v>
      </c>
      <c r="P1" t="s">
        <v>146</v>
      </c>
      <c r="Q1" t="s">
        <v>142</v>
      </c>
      <c r="R1" t="s">
        <v>139</v>
      </c>
      <c r="S1" t="s">
        <v>138</v>
      </c>
    </row>
    <row r="2" spans="1:19" x14ac:dyDescent="0.55000000000000004">
      <c r="A2" s="1">
        <v>5001</v>
      </c>
      <c r="B2" s="1" t="s">
        <v>94</v>
      </c>
      <c r="C2" s="2" t="s">
        <v>11</v>
      </c>
      <c r="D2" s="1" t="s">
        <v>22</v>
      </c>
      <c r="E2" s="2" t="s">
        <v>21</v>
      </c>
      <c r="F2" s="1" t="s">
        <v>20</v>
      </c>
      <c r="G2" s="2" t="s">
        <v>56</v>
      </c>
      <c r="H2" s="2" t="s">
        <v>20</v>
      </c>
      <c r="I2" s="2" t="s">
        <v>56</v>
      </c>
      <c r="J2" s="1" cm="1">
        <f t="array" ref="J2">_xlfn.SWITCH(O2,
"Balance",150+GrowthType!$B$2*(EnemyStatus!R2-1),
"Atype",150+GrowthType!$B$3*(EnemyStatus!R2-1),
"Dtype",150+GrowthType!$B$4*(EnemyStatus!R2-1),
"Itype",150+GrowthType!$B$5*(EnemyStatus!R2-1),
"Stype",150+GrowthType!$B$6*(EnemyStatus!R2-1))</f>
        <v>195</v>
      </c>
      <c r="K2" s="1" cm="1">
        <f t="array" ref="K2">_xlfn.SWITCH(O2,
 "Balance", 30+GrowthType!$C$2*(EnemyStatus!R2-1),
 "Atype",   30+GrowthType!$C$3*(EnemyStatus!R2-1),
 "Dtype",   30+GrowthType!$C$4*(EnemyStatus!R2-1),
 "Itype",   30+GrowthType!$C$5*(EnemyStatus!R2-1),
 "Stype",   30+GrowthType!$C$6*(EnemyStatus!R2-1))</f>
        <v>39</v>
      </c>
      <c r="L2" s="1" cm="1">
        <f t="array" ref="L2">_xlfn.SWITCH(O2,
 "Balance", 30+GrowthType!$D$2*(EnemyStatus!R2-1),
 "Atype",   30+GrowthType!$D$3*(EnemyStatus!R2-1),
 "Dtype",   30+GrowthType!$D$4*(EnemyStatus!R2-1),
 "Itype",   30+GrowthType!$D$5*(EnemyStatus!R2-1),
 "Stype",   30+GrowthType!$D$6*(EnemyStatus!R2-1))</f>
        <v>39</v>
      </c>
      <c r="M2" s="1" cm="1">
        <f t="array" ref="M2">_xlfn.SWITCH(O2,
 "Balance", 20+GrowthType!$E$2*(EnemyStatus!R2-1),
 "Atype",   20+GrowthType!$E$3*(EnemyStatus!R2-1),
 "Dtype",   20+GrowthType!$E$4*(EnemyStatus!R2-1),
 "Itype",   20+GrowthType!$E$5*(EnemyStatus!R2-1),
 "Stype",   20+GrowthType!$E$6*(EnemyStatus!R2-1))</f>
        <v>26</v>
      </c>
      <c r="N2" s="1" cm="1">
        <f t="array" ref="N2">_xlfn.SWITCH(O2,
 "Balance", 20+GrowthType!$F$2*(EnemyStatus!R2-1),
 "Atype",   20+GrowthType!$F$3*(EnemyStatus!R2-1),
 "Dtype",   20+GrowthType!$F$4*(EnemyStatus!R2-1),
 "Itype",   20+GrowthType!$F$5*(EnemyStatus!R2-1),
 "Stype",   20+GrowthType!$F$6*(EnemyStatus!R2-1))</f>
        <v>26</v>
      </c>
      <c r="O2" s="1" t="s">
        <v>10</v>
      </c>
      <c r="P2" s="1" t="s">
        <v>147</v>
      </c>
      <c r="Q2" s="1">
        <v>-1</v>
      </c>
      <c r="R2" s="1">
        <v>8</v>
      </c>
      <c r="S2" s="1">
        <f>10+(R2-1)</f>
        <v>17</v>
      </c>
    </row>
    <row r="3" spans="1:19" x14ac:dyDescent="0.55000000000000004">
      <c r="A3" s="1">
        <v>5002</v>
      </c>
      <c r="B3" s="1" t="s">
        <v>95</v>
      </c>
      <c r="C3" s="2" t="s">
        <v>16</v>
      </c>
      <c r="D3" s="1" t="s">
        <v>22</v>
      </c>
      <c r="E3" s="2" t="s">
        <v>21</v>
      </c>
      <c r="F3" s="1" t="s">
        <v>20</v>
      </c>
      <c r="G3" s="2" t="s">
        <v>56</v>
      </c>
      <c r="H3" s="2" t="s">
        <v>20</v>
      </c>
      <c r="I3" s="2" t="s">
        <v>56</v>
      </c>
      <c r="J3" s="1" cm="1">
        <f t="array" ref="J3">_xlfn.SWITCH(O3,
"Balance",150+GrowthType!$B$2*(EnemyStatus!R3-1),
"Atype",150+GrowthType!$B$3*(EnemyStatus!R3-1),
"Dtype",150+GrowthType!$B$4*(EnemyStatus!R3-1),
"Itype",150+GrowthType!$B$5*(EnemyStatus!R3-1),
"Stype",150+GrowthType!$B$6*(EnemyStatus!R3-1))</f>
        <v>180</v>
      </c>
      <c r="K3" s="1" cm="1">
        <f t="array" ref="K3">_xlfn.SWITCH(O3,
 "Balance", 30+GrowthType!$C$2*(EnemyStatus!R3-1),
 "Atype",   30+GrowthType!$C$3*(EnemyStatus!R3-1),
 "Dtype",   30+GrowthType!$C$4*(EnemyStatus!R3-1),
 "Itype",   30+GrowthType!$C$5*(EnemyStatus!R3-1),
 "Stype",   30+GrowthType!$C$6*(EnemyStatus!R3-1))</f>
        <v>36</v>
      </c>
      <c r="L3" s="1" cm="1">
        <f t="array" ref="L3">_xlfn.SWITCH(O3,
 "Balance", 30+GrowthType!$D$2*(EnemyStatus!R3-1),
 "Atype",   30+GrowthType!$D$3*(EnemyStatus!R3-1),
 "Dtype",   30+GrowthType!$D$4*(EnemyStatus!R3-1),
 "Itype",   30+GrowthType!$D$5*(EnemyStatus!R3-1),
 "Stype",   30+GrowthType!$D$6*(EnemyStatus!R3-1))</f>
        <v>36</v>
      </c>
      <c r="M3" s="1" cm="1">
        <f t="array" ref="M3">_xlfn.SWITCH(O3,
 "Balance", 20+GrowthType!$E$2*(EnemyStatus!R3-1),
 "Atype",   20+GrowthType!$E$3*(EnemyStatus!R3-1),
 "Dtype",   20+GrowthType!$E$4*(EnemyStatus!R3-1),
 "Itype",   20+GrowthType!$E$5*(EnemyStatus!R3-1),
 "Stype",   20+GrowthType!$E$6*(EnemyStatus!R3-1))</f>
        <v>24</v>
      </c>
      <c r="N3" s="1" cm="1">
        <f t="array" ref="N3">_xlfn.SWITCH(O3,
 "Balance", 20+GrowthType!$F$2*(EnemyStatus!R3-1),
 "Atype",   20+GrowthType!$F$3*(EnemyStatus!R3-1),
 "Dtype",   20+GrowthType!$F$4*(EnemyStatus!R3-1),
 "Itype",   20+GrowthType!$F$5*(EnemyStatus!R3-1),
 "Stype",   20+GrowthType!$F$6*(EnemyStatus!R3-1))</f>
        <v>24</v>
      </c>
      <c r="O3" s="1" t="s">
        <v>10</v>
      </c>
      <c r="P3" s="1" t="s">
        <v>147</v>
      </c>
      <c r="Q3" s="1">
        <v>-1</v>
      </c>
      <c r="R3" s="1">
        <v>7</v>
      </c>
      <c r="S3" s="1">
        <f t="shared" ref="S3:S11" si="0">10+(R3-1)</f>
        <v>16</v>
      </c>
    </row>
    <row r="4" spans="1:19" x14ac:dyDescent="0.55000000000000004">
      <c r="A4" s="1">
        <v>5003</v>
      </c>
      <c r="B4" s="1" t="s">
        <v>96</v>
      </c>
      <c r="C4" s="2" t="s">
        <v>13</v>
      </c>
      <c r="D4" s="1" t="s">
        <v>22</v>
      </c>
      <c r="E4" s="2" t="s">
        <v>21</v>
      </c>
      <c r="F4" s="1" t="s">
        <v>20</v>
      </c>
      <c r="G4" s="2" t="s">
        <v>56</v>
      </c>
      <c r="H4" s="2" t="s">
        <v>20</v>
      </c>
      <c r="I4" s="2" t="s">
        <v>56</v>
      </c>
      <c r="J4" s="1" cm="1">
        <f t="array" ref="J4">_xlfn.SWITCH(O4,
"Balance",150+GrowthType!$B$2*(EnemyStatus!R4-1),
"Atype",150+GrowthType!$B$3*(EnemyStatus!R4-1),
"Dtype",150+GrowthType!$B$4*(EnemyStatus!R4-1),
"Itype",150+GrowthType!$B$5*(EnemyStatus!R4-1),
"Stype",150+GrowthType!$B$6*(EnemyStatus!R4-1))</f>
        <v>150</v>
      </c>
      <c r="K4" s="1" cm="1">
        <f t="array" ref="K4">_xlfn.SWITCH(O4,
 "Balance", 30+GrowthType!$C$2*(EnemyStatus!R4-1),
 "Atype",   30+GrowthType!$C$3*(EnemyStatus!R4-1),
 "Dtype",   30+GrowthType!$C$4*(EnemyStatus!R4-1),
 "Itype",   30+GrowthType!$C$5*(EnemyStatus!R4-1),
 "Stype",   30+GrowthType!$C$6*(EnemyStatus!R4-1))</f>
        <v>30</v>
      </c>
      <c r="L4" s="1" cm="1">
        <f t="array" ref="L4">_xlfn.SWITCH(O4,
 "Balance", 30+GrowthType!$D$2*(EnemyStatus!R4-1),
 "Atype",   30+GrowthType!$D$3*(EnemyStatus!R4-1),
 "Dtype",   30+GrowthType!$D$4*(EnemyStatus!R4-1),
 "Itype",   30+GrowthType!$D$5*(EnemyStatus!R4-1),
 "Stype",   30+GrowthType!$D$6*(EnemyStatus!R4-1))</f>
        <v>30</v>
      </c>
      <c r="M4" s="1" cm="1">
        <f t="array" ref="M4">_xlfn.SWITCH(O4,
 "Balance", 20+GrowthType!$E$2*(EnemyStatus!R4-1),
 "Atype",   20+GrowthType!$E$3*(EnemyStatus!R4-1),
 "Dtype",   20+GrowthType!$E$4*(EnemyStatus!R4-1),
 "Itype",   20+GrowthType!$E$5*(EnemyStatus!R4-1),
 "Stype",   20+GrowthType!$E$6*(EnemyStatus!R4-1))</f>
        <v>20</v>
      </c>
      <c r="N4" s="1" cm="1">
        <f t="array" ref="N4">_xlfn.SWITCH(O4,
 "Balance", 20+GrowthType!$F$2*(EnemyStatus!R4-1),
 "Atype",   20+GrowthType!$F$3*(EnemyStatus!R4-1),
 "Dtype",   20+GrowthType!$F$4*(EnemyStatus!R4-1),
 "Itype",   20+GrowthType!$F$5*(EnemyStatus!R4-1),
 "Stype",   20+GrowthType!$F$6*(EnemyStatus!R4-1))</f>
        <v>20</v>
      </c>
      <c r="O4" s="1" t="s">
        <v>10</v>
      </c>
      <c r="P4" s="1" t="s">
        <v>147</v>
      </c>
      <c r="Q4" s="1">
        <v>-1</v>
      </c>
      <c r="R4" s="1">
        <v>6</v>
      </c>
      <c r="S4" s="1">
        <f t="shared" si="0"/>
        <v>15</v>
      </c>
    </row>
    <row r="5" spans="1:19" x14ac:dyDescent="0.55000000000000004">
      <c r="A5" s="1">
        <v>5004</v>
      </c>
      <c r="B5" s="1" t="s">
        <v>97</v>
      </c>
      <c r="C5" s="2" t="s">
        <v>145</v>
      </c>
      <c r="D5" s="1" t="s">
        <v>22</v>
      </c>
      <c r="E5" s="2" t="s">
        <v>21</v>
      </c>
      <c r="F5" s="1" t="s">
        <v>20</v>
      </c>
      <c r="G5" s="2" t="s">
        <v>56</v>
      </c>
      <c r="H5" s="2" t="s">
        <v>20</v>
      </c>
      <c r="I5" s="2" t="s">
        <v>56</v>
      </c>
      <c r="J5" s="1" cm="1">
        <f t="array" ref="J5">_xlfn.SWITCH(O5,
"Balance",150+GrowthType!$B$2*(EnemyStatus!R5-1),
"Atype",150+GrowthType!$B$3*(EnemyStatus!R5-1),
"Dtype",150+GrowthType!$B$4*(EnemyStatus!R5-1),
"Itype",150+GrowthType!$B$5*(EnemyStatus!R5-1),
"Stype",150+GrowthType!$B$6*(EnemyStatus!R5-1))</f>
        <v>180</v>
      </c>
      <c r="K5" s="1" cm="1">
        <f t="array" ref="K5">_xlfn.SWITCH(O5,
 "Balance", 30+GrowthType!$C$2*(EnemyStatus!R5-1),
 "Atype",   30+GrowthType!$C$3*(EnemyStatus!R5-1),
 "Dtype",   30+GrowthType!$C$4*(EnemyStatus!R5-1),
 "Itype",   30+GrowthType!$C$5*(EnemyStatus!R5-1),
 "Stype",   30+GrowthType!$C$6*(EnemyStatus!R5-1))</f>
        <v>36</v>
      </c>
      <c r="L5" s="1" cm="1">
        <f t="array" ref="L5">_xlfn.SWITCH(O5,
 "Balance", 30+GrowthType!$D$2*(EnemyStatus!R5-1),
 "Atype",   30+GrowthType!$D$3*(EnemyStatus!R5-1),
 "Dtype",   30+GrowthType!$D$4*(EnemyStatus!R5-1),
 "Itype",   30+GrowthType!$D$5*(EnemyStatus!R5-1),
 "Stype",   30+GrowthType!$D$6*(EnemyStatus!R5-1))</f>
        <v>36</v>
      </c>
      <c r="M5" s="1" cm="1">
        <f t="array" ref="M5">_xlfn.SWITCH(O5,
 "Balance", 20+GrowthType!$E$2*(EnemyStatus!R5-1),
 "Atype",   20+GrowthType!$E$3*(EnemyStatus!R5-1),
 "Dtype",   20+GrowthType!$E$4*(EnemyStatus!R5-1),
 "Itype",   20+GrowthType!$E$5*(EnemyStatus!R5-1),
 "Stype",   20+GrowthType!$E$6*(EnemyStatus!R5-1))</f>
        <v>24</v>
      </c>
      <c r="N5" s="1" cm="1">
        <f t="array" ref="N5">_xlfn.SWITCH(O5,
 "Balance", 20+GrowthType!$F$2*(EnemyStatus!R5-1),
 "Atype",   20+GrowthType!$F$3*(EnemyStatus!R5-1),
 "Dtype",   20+GrowthType!$F$4*(EnemyStatus!R5-1),
 "Itype",   20+GrowthType!$F$5*(EnemyStatus!R5-1),
 "Stype",   20+GrowthType!$F$6*(EnemyStatus!R5-1))</f>
        <v>24</v>
      </c>
      <c r="O5" s="1" t="s">
        <v>10</v>
      </c>
      <c r="P5" s="1" t="s">
        <v>147</v>
      </c>
      <c r="Q5" s="1">
        <v>-1</v>
      </c>
      <c r="R5" s="1">
        <v>9</v>
      </c>
      <c r="S5" s="1">
        <f t="shared" si="0"/>
        <v>18</v>
      </c>
    </row>
    <row r="6" spans="1:19" x14ac:dyDescent="0.55000000000000004">
      <c r="A6" s="1">
        <v>5005</v>
      </c>
      <c r="B6" s="1" t="s">
        <v>99</v>
      </c>
      <c r="C6" s="2" t="s">
        <v>14</v>
      </c>
      <c r="D6" s="1" t="s">
        <v>22</v>
      </c>
      <c r="E6" s="2" t="s">
        <v>21</v>
      </c>
      <c r="F6" s="1" t="s">
        <v>20</v>
      </c>
      <c r="G6" s="2" t="s">
        <v>56</v>
      </c>
      <c r="H6" s="2" t="s">
        <v>20</v>
      </c>
      <c r="I6" s="2" t="s">
        <v>56</v>
      </c>
      <c r="J6" s="1" cm="1">
        <f t="array" ref="J6">_xlfn.SWITCH(O6,
"Balance",150+GrowthType!$B$2*(EnemyStatus!R6-1),
"Atype",150+GrowthType!$B$3*(EnemyStatus!R6-1),
"Dtype",150+GrowthType!$B$4*(EnemyStatus!R6-1),
"Itype",150+GrowthType!$B$5*(EnemyStatus!R6-1),
"Stype",150+GrowthType!$B$6*(EnemyStatus!R6-1))</f>
        <v>165</v>
      </c>
      <c r="K6" s="1" cm="1">
        <f t="array" ref="K6">_xlfn.SWITCH(O6,
 "Balance", 30+GrowthType!$C$2*(EnemyStatus!R6-1),
 "Atype",   30+GrowthType!$C$3*(EnemyStatus!R6-1),
 "Dtype",   30+GrowthType!$C$4*(EnemyStatus!R6-1),
 "Itype",   30+GrowthType!$C$5*(EnemyStatus!R6-1),
 "Stype",   30+GrowthType!$C$6*(EnemyStatus!R6-1))</f>
        <v>33</v>
      </c>
      <c r="L6" s="1" cm="1">
        <f t="array" ref="L6">_xlfn.SWITCH(O6,
 "Balance", 30+GrowthType!$D$2*(EnemyStatus!R6-1),
 "Atype",   30+GrowthType!$D$3*(EnemyStatus!R6-1),
 "Dtype",   30+GrowthType!$D$4*(EnemyStatus!R6-1),
 "Itype",   30+GrowthType!$D$5*(EnemyStatus!R6-1),
 "Stype",   30+GrowthType!$D$6*(EnemyStatus!R6-1))</f>
        <v>33</v>
      </c>
      <c r="M6" s="1" cm="1">
        <f t="array" ref="M6">_xlfn.SWITCH(O6,
 "Balance", 20+GrowthType!$E$2*(EnemyStatus!R6-1),
 "Atype",   20+GrowthType!$E$3*(EnemyStatus!R6-1),
 "Dtype",   20+GrowthType!$E$4*(EnemyStatus!R6-1),
 "Itype",   20+GrowthType!$E$5*(EnemyStatus!R6-1),
 "Stype",   20+GrowthType!$E$6*(EnemyStatus!R6-1))</f>
        <v>22</v>
      </c>
      <c r="N6" s="1" cm="1">
        <f t="array" ref="N6">_xlfn.SWITCH(O6,
 "Balance", 20+GrowthType!$F$2*(EnemyStatus!R6-1),
 "Atype",   20+GrowthType!$F$3*(EnemyStatus!R6-1),
 "Dtype",   20+GrowthType!$F$4*(EnemyStatus!R6-1),
 "Itype",   20+GrowthType!$F$5*(EnemyStatus!R6-1),
 "Stype",   20+GrowthType!$F$6*(EnemyStatus!R6-1))</f>
        <v>22</v>
      </c>
      <c r="O6" s="1" t="s">
        <v>10</v>
      </c>
      <c r="P6" s="1" t="s">
        <v>147</v>
      </c>
      <c r="Q6" s="1">
        <v>-1</v>
      </c>
      <c r="R6" s="1">
        <v>5</v>
      </c>
      <c r="S6" s="1">
        <f t="shared" si="0"/>
        <v>14</v>
      </c>
    </row>
    <row r="7" spans="1:19" x14ac:dyDescent="0.55000000000000004">
      <c r="A7" s="1">
        <v>5006</v>
      </c>
      <c r="B7" s="1" t="s">
        <v>98</v>
      </c>
      <c r="C7" s="2" t="s">
        <v>15</v>
      </c>
      <c r="D7" s="1" t="s">
        <v>22</v>
      </c>
      <c r="E7" s="2" t="s">
        <v>21</v>
      </c>
      <c r="F7" s="1" t="s">
        <v>20</v>
      </c>
      <c r="G7" s="2" t="s">
        <v>56</v>
      </c>
      <c r="H7" s="2" t="s">
        <v>20</v>
      </c>
      <c r="I7" s="2" t="s">
        <v>56</v>
      </c>
      <c r="J7" s="1" cm="1">
        <f t="array" ref="J7">_xlfn.SWITCH(O7,
"Balance",150+GrowthType!$B$2*(EnemyStatus!R7-1),
"Atype",150+GrowthType!$B$3*(EnemyStatus!R7-1),
"Dtype",150+GrowthType!$B$4*(EnemyStatus!R7-1),
"Itype",150+GrowthType!$B$5*(EnemyStatus!R7-1),
"Stype",150+GrowthType!$B$6*(EnemyStatus!R7-1))</f>
        <v>165</v>
      </c>
      <c r="K7" s="1" cm="1">
        <f t="array" ref="K7">_xlfn.SWITCH(O7,
 "Balance", 30+GrowthType!$C$2*(EnemyStatus!R7-1),
 "Atype",   30+GrowthType!$C$3*(EnemyStatus!R7-1),
 "Dtype",   30+GrowthType!$C$4*(EnemyStatus!R7-1),
 "Itype",   30+GrowthType!$C$5*(EnemyStatus!R7-1),
 "Stype",   30+GrowthType!$C$6*(EnemyStatus!R7-1))</f>
        <v>33</v>
      </c>
      <c r="L7" s="1" cm="1">
        <f t="array" ref="L7">_xlfn.SWITCH(O7,
 "Balance", 30+GrowthType!$D$2*(EnemyStatus!R7-1),
 "Atype",   30+GrowthType!$D$3*(EnemyStatus!R7-1),
 "Dtype",   30+GrowthType!$D$4*(EnemyStatus!R7-1),
 "Itype",   30+GrowthType!$D$5*(EnemyStatus!R7-1),
 "Stype",   30+GrowthType!$D$6*(EnemyStatus!R7-1))</f>
        <v>33</v>
      </c>
      <c r="M7" s="1" cm="1">
        <f t="array" ref="M7">_xlfn.SWITCH(O7,
 "Balance", 20+GrowthType!$E$2*(EnemyStatus!R7-1),
 "Atype",   20+GrowthType!$E$3*(EnemyStatus!R7-1),
 "Dtype",   20+GrowthType!$E$4*(EnemyStatus!R7-1),
 "Itype",   20+GrowthType!$E$5*(EnemyStatus!R7-1),
 "Stype",   20+GrowthType!$E$6*(EnemyStatus!R7-1))</f>
        <v>22</v>
      </c>
      <c r="N7" s="1" cm="1">
        <f t="array" ref="N7">_xlfn.SWITCH(O7,
 "Balance", 20+GrowthType!$F$2*(EnemyStatus!R7-1),
 "Atype",   20+GrowthType!$F$3*(EnemyStatus!R7-1),
 "Dtype",   20+GrowthType!$F$4*(EnemyStatus!R7-1),
 "Itype",   20+GrowthType!$F$5*(EnemyStatus!R7-1),
 "Stype",   20+GrowthType!$F$6*(EnemyStatus!R7-1))</f>
        <v>22</v>
      </c>
      <c r="O7" s="1" t="s">
        <v>10</v>
      </c>
      <c r="P7" s="1" t="s">
        <v>147</v>
      </c>
      <c r="Q7" s="1">
        <v>-1</v>
      </c>
      <c r="R7" s="1">
        <v>4</v>
      </c>
      <c r="S7" s="1">
        <f t="shared" si="0"/>
        <v>13</v>
      </c>
    </row>
    <row r="8" spans="1:19" x14ac:dyDescent="0.55000000000000004">
      <c r="A8" s="1">
        <v>5007</v>
      </c>
      <c r="B8" s="1" t="s">
        <v>144</v>
      </c>
      <c r="C8" s="2" t="s">
        <v>18</v>
      </c>
      <c r="D8" s="1" t="s">
        <v>22</v>
      </c>
      <c r="E8" s="2" t="s">
        <v>21</v>
      </c>
      <c r="F8" s="1" t="s">
        <v>20</v>
      </c>
      <c r="G8" s="2" t="s">
        <v>56</v>
      </c>
      <c r="H8" s="2" t="s">
        <v>20</v>
      </c>
      <c r="I8" s="2" t="s">
        <v>56</v>
      </c>
      <c r="J8" s="1" cm="1">
        <f t="array" ref="J8">_xlfn.SWITCH(O8,
"Balance",150+GrowthType!$B$2*(EnemyStatus!R8-1),
"Atype",150+GrowthType!$B$3*(EnemyStatus!R8-1),
"Dtype",150+GrowthType!$B$4*(EnemyStatus!R8-1),
"Itype",150+GrowthType!$B$5*(EnemyStatus!R8-1),
"Stype",150+GrowthType!$B$6*(EnemyStatus!R8-1))</f>
        <v>150</v>
      </c>
      <c r="K8" s="1" cm="1">
        <f t="array" ref="K8">_xlfn.SWITCH(O8,
 "Balance", 30+GrowthType!$C$2*(EnemyStatus!R8-1),
 "Atype",   30+GrowthType!$C$3*(EnemyStatus!R8-1),
 "Dtype",   30+GrowthType!$C$4*(EnemyStatus!R8-1),
 "Itype",   30+GrowthType!$C$5*(EnemyStatus!R8-1),
 "Stype",   30+GrowthType!$C$6*(EnemyStatus!R8-1))</f>
        <v>30</v>
      </c>
      <c r="L8" s="1" cm="1">
        <f t="array" ref="L8">_xlfn.SWITCH(O8,
 "Balance", 30+GrowthType!$D$2*(EnemyStatus!R8-1),
 "Atype",   30+GrowthType!$D$3*(EnemyStatus!R8-1),
 "Dtype",   30+GrowthType!$D$4*(EnemyStatus!R8-1),
 "Itype",   30+GrowthType!$D$5*(EnemyStatus!R8-1),
 "Stype",   30+GrowthType!$D$6*(EnemyStatus!R8-1))</f>
        <v>30</v>
      </c>
      <c r="M8" s="1" cm="1">
        <f t="array" ref="M8">_xlfn.SWITCH(O8,
 "Balance", 20+GrowthType!$E$2*(EnemyStatus!R8-1),
 "Atype",   20+GrowthType!$E$3*(EnemyStatus!R8-1),
 "Dtype",   20+GrowthType!$E$4*(EnemyStatus!R8-1),
 "Itype",   20+GrowthType!$E$5*(EnemyStatus!R8-1),
 "Stype",   20+GrowthType!$E$6*(EnemyStatus!R8-1))</f>
        <v>20</v>
      </c>
      <c r="N8" s="1" cm="1">
        <f t="array" ref="N8">_xlfn.SWITCH(O8,
 "Balance", 20+GrowthType!$F$2*(EnemyStatus!R8-1),
 "Atype",   20+GrowthType!$F$3*(EnemyStatus!R8-1),
 "Dtype",   20+GrowthType!$F$4*(EnemyStatus!R8-1),
 "Itype",   20+GrowthType!$F$5*(EnemyStatus!R8-1),
 "Stype",   20+GrowthType!$F$6*(EnemyStatus!R8-1))</f>
        <v>20</v>
      </c>
      <c r="O8" s="1" t="s">
        <v>10</v>
      </c>
      <c r="P8" s="1" t="s">
        <v>147</v>
      </c>
      <c r="Q8" s="1">
        <v>-1</v>
      </c>
      <c r="R8" s="1">
        <v>2</v>
      </c>
      <c r="S8" s="1">
        <f t="shared" si="0"/>
        <v>11</v>
      </c>
    </row>
    <row r="9" spans="1:19" x14ac:dyDescent="0.55000000000000004">
      <c r="A9" s="1">
        <v>5008</v>
      </c>
      <c r="B9" s="1" t="s">
        <v>100</v>
      </c>
      <c r="C9" s="2" t="s">
        <v>19</v>
      </c>
      <c r="D9" s="1" t="s">
        <v>22</v>
      </c>
      <c r="E9" s="2" t="s">
        <v>21</v>
      </c>
      <c r="F9" s="1" t="s">
        <v>20</v>
      </c>
      <c r="G9" s="2" t="s">
        <v>56</v>
      </c>
      <c r="H9" s="2" t="s">
        <v>20</v>
      </c>
      <c r="I9" s="2" t="s">
        <v>56</v>
      </c>
      <c r="J9" s="1" cm="1">
        <f t="array" ref="J9">_xlfn.SWITCH(O9,
"Balance",150+GrowthType!$B$2*(EnemyStatus!R9-1),
"Atype",150+GrowthType!$B$3*(EnemyStatus!R9-1),
"Dtype",150+GrowthType!$B$4*(EnemyStatus!R9-1),
"Itype",150+GrowthType!$B$5*(EnemyStatus!R9-1),
"Stype",150+GrowthType!$B$6*(EnemyStatus!R9-1))</f>
        <v>165</v>
      </c>
      <c r="K9" s="1" cm="1">
        <f t="array" ref="K9">_xlfn.SWITCH(O9,
 "Balance", 30+GrowthType!$C$2*(EnemyStatus!R9-1),
 "Atype",   30+GrowthType!$C$3*(EnemyStatus!R9-1),
 "Dtype",   30+GrowthType!$C$4*(EnemyStatus!R9-1),
 "Itype",   30+GrowthType!$C$5*(EnemyStatus!R9-1),
 "Stype",   30+GrowthType!$C$6*(EnemyStatus!R9-1))</f>
        <v>33</v>
      </c>
      <c r="L9" s="1" cm="1">
        <f t="array" ref="L9">_xlfn.SWITCH(O9,
 "Balance", 30+GrowthType!$D$2*(EnemyStatus!R9-1),
 "Atype",   30+GrowthType!$D$3*(EnemyStatus!R9-1),
 "Dtype",   30+GrowthType!$D$4*(EnemyStatus!R9-1),
 "Itype",   30+GrowthType!$D$5*(EnemyStatus!R9-1),
 "Stype",   30+GrowthType!$D$6*(EnemyStatus!R9-1))</f>
        <v>33</v>
      </c>
      <c r="M9" s="1" cm="1">
        <f t="array" ref="M9">_xlfn.SWITCH(O9,
 "Balance", 20+GrowthType!$E$2*(EnemyStatus!R9-1),
 "Atype",   20+GrowthType!$E$3*(EnemyStatus!R9-1),
 "Dtype",   20+GrowthType!$E$4*(EnemyStatus!R9-1),
 "Itype",   20+GrowthType!$E$5*(EnemyStatus!R9-1),
 "Stype",   20+GrowthType!$E$6*(EnemyStatus!R9-1))</f>
        <v>22</v>
      </c>
      <c r="N9" s="1" cm="1">
        <f t="array" ref="N9">_xlfn.SWITCH(O9,
 "Balance", 20+GrowthType!$F$2*(EnemyStatus!R9-1),
 "Atype",   20+GrowthType!$F$3*(EnemyStatus!R9-1),
 "Dtype",   20+GrowthType!$F$4*(EnemyStatus!R9-1),
 "Itype",   20+GrowthType!$F$5*(EnemyStatus!R9-1),
 "Stype",   20+GrowthType!$F$6*(EnemyStatus!R9-1))</f>
        <v>22</v>
      </c>
      <c r="O9" s="1" t="s">
        <v>10</v>
      </c>
      <c r="P9" s="1" t="s">
        <v>147</v>
      </c>
      <c r="Q9" s="1">
        <v>-1</v>
      </c>
      <c r="R9" s="1">
        <v>1</v>
      </c>
      <c r="S9" s="1">
        <f t="shared" si="0"/>
        <v>10</v>
      </c>
    </row>
    <row r="10" spans="1:19" x14ac:dyDescent="0.55000000000000004">
      <c r="A10" s="1">
        <v>5009</v>
      </c>
      <c r="B10" s="1" t="s">
        <v>102</v>
      </c>
      <c r="C10" s="2" t="s">
        <v>17</v>
      </c>
      <c r="D10" s="1" t="s">
        <v>22</v>
      </c>
      <c r="E10" s="2" t="s">
        <v>21</v>
      </c>
      <c r="F10" s="1" t="s">
        <v>20</v>
      </c>
      <c r="G10" s="2" t="s">
        <v>56</v>
      </c>
      <c r="H10" s="2" t="s">
        <v>20</v>
      </c>
      <c r="I10" s="2" t="s">
        <v>56</v>
      </c>
      <c r="J10" s="1" cm="1">
        <f t="array" ref="J10">_xlfn.SWITCH(O10,
"Balance",150+GrowthType!$B$2*(EnemyStatus!R10-1),
"Atype",150+GrowthType!$B$3*(EnemyStatus!R10-1),
"Dtype",150+GrowthType!$B$4*(EnemyStatus!R10-1),
"Itype",150+GrowthType!$B$5*(EnemyStatus!R10-1),
"Stype",150+GrowthType!$B$6*(EnemyStatus!R10-1))</f>
        <v>195</v>
      </c>
      <c r="K10" s="1" cm="1">
        <f t="array" ref="K10">_xlfn.SWITCH(O10,
 "Balance", 30+GrowthType!$C$2*(EnemyStatus!R10-1),
 "Atype",   30+GrowthType!$C$3*(EnemyStatus!R10-1),
 "Dtype",   30+GrowthType!$C$4*(EnemyStatus!R10-1),
 "Itype",   30+GrowthType!$C$5*(EnemyStatus!R10-1),
 "Stype",   30+GrowthType!$C$6*(EnemyStatus!R10-1))</f>
        <v>39</v>
      </c>
      <c r="L10" s="1" cm="1">
        <f t="array" ref="L10">_xlfn.SWITCH(O10,
 "Balance", 30+GrowthType!$D$2*(EnemyStatus!R10-1),
 "Atype",   30+GrowthType!$D$3*(EnemyStatus!R10-1),
 "Dtype",   30+GrowthType!$D$4*(EnemyStatus!R10-1),
 "Itype",   30+GrowthType!$D$5*(EnemyStatus!R10-1),
 "Stype",   30+GrowthType!$D$6*(EnemyStatus!R10-1))</f>
        <v>39</v>
      </c>
      <c r="M10" s="1" cm="1">
        <f t="array" ref="M10">_xlfn.SWITCH(O10,
 "Balance", 20+GrowthType!$E$2*(EnemyStatus!R10-1),
 "Atype",   20+GrowthType!$E$3*(EnemyStatus!R10-1),
 "Dtype",   20+GrowthType!$E$4*(EnemyStatus!R10-1),
 "Itype",   20+GrowthType!$E$5*(EnemyStatus!R10-1),
 "Stype",   20+GrowthType!$E$6*(EnemyStatus!R10-1))</f>
        <v>26</v>
      </c>
      <c r="N10" s="1" cm="1">
        <f t="array" ref="N10">_xlfn.SWITCH(O10,
 "Balance", 20+GrowthType!$F$2*(EnemyStatus!R10-1),
 "Atype",   20+GrowthType!$F$3*(EnemyStatus!R10-1),
 "Dtype",   20+GrowthType!$F$4*(EnemyStatus!R10-1),
 "Itype",   20+GrowthType!$F$5*(EnemyStatus!R10-1),
 "Stype",   20+GrowthType!$F$6*(EnemyStatus!R10-1))</f>
        <v>26</v>
      </c>
      <c r="O10" s="1" t="s">
        <v>10</v>
      </c>
      <c r="P10" s="1" t="s">
        <v>147</v>
      </c>
      <c r="Q10" s="1">
        <v>-1</v>
      </c>
      <c r="R10" s="1">
        <v>9</v>
      </c>
      <c r="S10" s="1">
        <f t="shared" si="0"/>
        <v>18</v>
      </c>
    </row>
    <row r="11" spans="1:19" x14ac:dyDescent="0.55000000000000004">
      <c r="A11" s="1">
        <v>5010</v>
      </c>
      <c r="B11" s="1" t="s">
        <v>101</v>
      </c>
      <c r="C11" s="2" t="s">
        <v>12</v>
      </c>
      <c r="D11" s="1" t="s">
        <v>22</v>
      </c>
      <c r="E11" s="2" t="s">
        <v>21</v>
      </c>
      <c r="F11" s="1" t="s">
        <v>20</v>
      </c>
      <c r="G11" s="2" t="s">
        <v>56</v>
      </c>
      <c r="H11" s="2" t="s">
        <v>20</v>
      </c>
      <c r="I11" s="2" t="s">
        <v>56</v>
      </c>
      <c r="J11" s="1" cm="1">
        <f t="array" ref="J11">_xlfn.SWITCH(O11,
"Balance",150+GrowthType!$B$2*(EnemyStatus!R11-1),
"Atype",150+GrowthType!$B$3*(EnemyStatus!R11-1),
"Dtype",150+GrowthType!$B$4*(EnemyStatus!R11-1),
"Itype",150+GrowthType!$B$5*(EnemyStatus!R11-1),
"Stype",150+GrowthType!$B$6*(EnemyStatus!R11-1))</f>
        <v>180</v>
      </c>
      <c r="K11" s="1" cm="1">
        <f t="array" ref="K11">_xlfn.SWITCH(O11,
 "Balance", 30+GrowthType!$C$2*(EnemyStatus!R11-1),
 "Atype",   30+GrowthType!$C$3*(EnemyStatus!R11-1),
 "Dtype",   30+GrowthType!$C$4*(EnemyStatus!R11-1),
 "Itype",   30+GrowthType!$C$5*(EnemyStatus!R11-1),
 "Stype",   30+GrowthType!$C$6*(EnemyStatus!R11-1))</f>
        <v>36</v>
      </c>
      <c r="L11" s="1" cm="1">
        <f t="array" ref="L11">_xlfn.SWITCH(O11,
 "Balance", 30+GrowthType!$D$2*(EnemyStatus!R11-1),
 "Atype",   30+GrowthType!$D$3*(EnemyStatus!R11-1),
 "Dtype",   30+GrowthType!$D$4*(EnemyStatus!R11-1),
 "Itype",   30+GrowthType!$D$5*(EnemyStatus!R11-1),
 "Stype",   30+GrowthType!$D$6*(EnemyStatus!R11-1))</f>
        <v>36</v>
      </c>
      <c r="M11" s="1" cm="1">
        <f t="array" ref="M11">_xlfn.SWITCH(O11,
 "Balance", 20+GrowthType!$E$2*(EnemyStatus!R11-1),
 "Atype",   20+GrowthType!$E$3*(EnemyStatus!R11-1),
 "Dtype",   20+GrowthType!$E$4*(EnemyStatus!R11-1),
 "Itype",   20+GrowthType!$E$5*(EnemyStatus!R11-1),
 "Stype",   20+GrowthType!$E$6*(EnemyStatus!R11-1))</f>
        <v>24</v>
      </c>
      <c r="N11" s="1" cm="1">
        <f t="array" ref="N11">_xlfn.SWITCH(O11,
 "Balance", 20+GrowthType!$F$2*(EnemyStatus!R11-1),
 "Atype",   20+GrowthType!$F$3*(EnemyStatus!R11-1),
 "Dtype",   20+GrowthType!$F$4*(EnemyStatus!R11-1),
 "Itype",   20+GrowthType!$F$5*(EnemyStatus!R11-1),
 "Stype",   20+GrowthType!$F$6*(EnemyStatus!R11-1))</f>
        <v>24</v>
      </c>
      <c r="O11" s="1" t="s">
        <v>10</v>
      </c>
      <c r="P11" s="1" t="s">
        <v>147</v>
      </c>
      <c r="Q11" s="1">
        <v>-1</v>
      </c>
      <c r="R11" s="1">
        <v>3</v>
      </c>
      <c r="S11" s="1">
        <f t="shared" si="0"/>
        <v>12</v>
      </c>
    </row>
    <row r="12" spans="1:19" x14ac:dyDescent="0.55000000000000004">
      <c r="A12" s="3">
        <v>6001</v>
      </c>
      <c r="B12" s="3" t="s">
        <v>104</v>
      </c>
      <c r="C12" s="4" t="s">
        <v>38</v>
      </c>
      <c r="D12" s="3" t="s">
        <v>55</v>
      </c>
      <c r="E12" s="4" t="s">
        <v>54</v>
      </c>
      <c r="F12" s="3" t="s">
        <v>58</v>
      </c>
      <c r="G12" s="4" t="s">
        <v>63</v>
      </c>
      <c r="H12" s="3" t="s">
        <v>73</v>
      </c>
      <c r="I12" s="4" t="s">
        <v>69</v>
      </c>
      <c r="J12" s="3" cm="1">
        <f t="array" ref="J12">_xlfn.SWITCH(O12,
"Balance",300+GrowthType!$B$2*(EnemyStatus!R12-1),
"Atype",300+GrowthType!$B$3*(EnemyStatus!R12-1),
"Dtype",300+GrowthType!$B$4*(EnemyStatus!R12-1),
"Itype",300+GrowthType!$B$5*(EnemyStatus!R12-1),
"Stype",300+GrowthType!$B$6*(EnemyStatus!R12-1))</f>
        <v>380</v>
      </c>
      <c r="K12" s="3" cm="1">
        <f t="array" ref="K12">_xlfn.SWITCH(O12,
 "Balance", 60+GrowthType!$C$2*(EnemyStatus!R12-1),
 "Atype",   60+GrowthType!$C$3*(EnemyStatus!R12-1),
 "Dtype",   60+GrowthType!$C$4*(EnemyStatus!R12-1),
 "Itype",   60+GrowthType!$C$5*(EnemyStatus!R12-1),
 "Stype",   60+GrowthType!$C$6*(EnemyStatus!R12-1))</f>
        <v>100</v>
      </c>
      <c r="L12" s="3" cm="1">
        <f t="array" ref="L12">_xlfn.SWITCH(O12,
 "Balance", 60+GrowthType!$D$2*(EnemyStatus!R12-1),
 "Atype",   60+GrowthType!$D$3*(EnemyStatus!R12-1),
 "Dtype",   60+GrowthType!$D$4*(EnemyStatus!R12-1),
 "Itype",   60+GrowthType!$D$5*(EnemyStatus!R12-1),
 "Stype",   60+GrowthType!$D$6*(EnemyStatus!R12-1))</f>
        <v>76</v>
      </c>
      <c r="M12" s="3" cm="1">
        <f t="array" ref="M12">_xlfn.SWITCH(O12,
 "Balance", 40+GrowthType!$E$2*(EnemyStatus!R12-1),
 "Atype",   40+GrowthType!$E$3*(EnemyStatus!R12-1),
 "Dtype",   40+GrowthType!$E$4*(EnemyStatus!R12-1),
 "Itype",   40+GrowthType!$E$5*(EnemyStatus!R12-1),
 "Stype",   40+GrowthType!$E$6*(EnemyStatus!R12-1))</f>
        <v>48</v>
      </c>
      <c r="N12" s="3" cm="1">
        <f t="array" ref="N12">_xlfn.SWITCH(O12,
 "Balance", 40+GrowthType!$F$2*(EnemyStatus!R12-1),
 "Atype",   40+GrowthType!$F$3*(EnemyStatus!R12-1),
 "Dtype",   40+GrowthType!$F$4*(EnemyStatus!R12-1),
 "Itype",   40+GrowthType!$F$5*(EnemyStatus!R12-1),
 "Stype",   40+GrowthType!$F$6*(EnemyStatus!R12-1))</f>
        <v>56</v>
      </c>
      <c r="O12" s="3" t="s">
        <v>6</v>
      </c>
      <c r="P12" s="3" t="s">
        <v>148</v>
      </c>
      <c r="Q12" s="3">
        <v>-1</v>
      </c>
      <c r="R12" s="3">
        <v>15</v>
      </c>
      <c r="S12" s="3">
        <f>20+(R12-1)</f>
        <v>34</v>
      </c>
    </row>
    <row r="13" spans="1:19" x14ac:dyDescent="0.55000000000000004">
      <c r="A13" s="3">
        <v>6002</v>
      </c>
      <c r="B13" s="3" t="s">
        <v>108</v>
      </c>
      <c r="C13" s="4" t="s">
        <v>39</v>
      </c>
      <c r="D13" s="3" t="s">
        <v>55</v>
      </c>
      <c r="E13" s="4" t="s">
        <v>54</v>
      </c>
      <c r="F13" s="3" t="s">
        <v>59</v>
      </c>
      <c r="G13" s="4" t="s">
        <v>64</v>
      </c>
      <c r="H13" s="3" t="s">
        <v>74</v>
      </c>
      <c r="I13" s="4" t="s">
        <v>70</v>
      </c>
      <c r="J13" s="3" cm="1">
        <f t="array" ref="J13">_xlfn.SWITCH(O13,
"Balance",300+GrowthType!$B$2*(EnemyStatus!R13-1),
"Atype",300+GrowthType!$B$3*(EnemyStatus!R13-1),
"Dtype",300+GrowthType!$B$4*(EnemyStatus!R13-1),
"Itype",300+GrowthType!$B$5*(EnemyStatus!R13-1),
"Stype",300+GrowthType!$B$6*(EnemyStatus!R13-1))</f>
        <v>475</v>
      </c>
      <c r="K13" s="3" cm="1">
        <f t="array" ref="K13">_xlfn.SWITCH(O13,
 "Balance", 60+GrowthType!$C$2*(EnemyStatus!R13-1),
 "Atype",   60+GrowthType!$C$3*(EnemyStatus!R13-1),
 "Dtype",   60+GrowthType!$C$4*(EnemyStatus!R13-1),
 "Itype",   60+GrowthType!$C$5*(EnemyStatus!R13-1),
 "Stype",   60+GrowthType!$C$6*(EnemyStatus!R13-1))</f>
        <v>74</v>
      </c>
      <c r="L13" s="3" cm="1">
        <f t="array" ref="L13">_xlfn.SWITCH(O13,
 "Balance", 60+GrowthType!$D$2*(EnemyStatus!R13-1),
 "Atype",   60+GrowthType!$D$3*(EnemyStatus!R13-1),
 "Dtype",   60+GrowthType!$D$4*(EnemyStatus!R13-1),
 "Itype",   60+GrowthType!$D$5*(EnemyStatus!R13-1),
 "Stype",   60+GrowthType!$D$6*(EnemyStatus!R13-1))</f>
        <v>95</v>
      </c>
      <c r="M13" s="3" cm="1">
        <f t="array" ref="M13">_xlfn.SWITCH(O13,
 "Balance", 40+GrowthType!$E$2*(EnemyStatus!R13-1),
 "Atype",   40+GrowthType!$E$3*(EnemyStatus!R13-1),
 "Dtype",   40+GrowthType!$E$4*(EnemyStatus!R13-1),
 "Itype",   40+GrowthType!$E$5*(EnemyStatus!R13-1),
 "Stype",   40+GrowthType!$E$6*(EnemyStatus!R13-1))</f>
        <v>54</v>
      </c>
      <c r="N13" s="3" cm="1">
        <f t="array" ref="N13">_xlfn.SWITCH(O13,
 "Balance", 40+GrowthType!$F$2*(EnemyStatus!R13-1),
 "Atype",   40+GrowthType!$F$3*(EnemyStatus!R13-1),
 "Dtype",   40+GrowthType!$F$4*(EnemyStatus!R13-1),
 "Itype",   40+GrowthType!$F$5*(EnemyStatus!R13-1),
 "Stype",   40+GrowthType!$F$6*(EnemyStatus!R13-1))</f>
        <v>47</v>
      </c>
      <c r="O13" s="3" t="s">
        <v>7</v>
      </c>
      <c r="P13" s="3" t="s">
        <v>149</v>
      </c>
      <c r="Q13" s="3">
        <v>-1</v>
      </c>
      <c r="R13" s="3">
        <v>14</v>
      </c>
      <c r="S13" s="3">
        <f t="shared" ref="S13:S29" si="1">20+(R13-1)</f>
        <v>33</v>
      </c>
    </row>
    <row r="14" spans="1:19" x14ac:dyDescent="0.55000000000000004">
      <c r="A14" s="3">
        <v>6003</v>
      </c>
      <c r="B14" s="3" t="s">
        <v>117</v>
      </c>
      <c r="C14" s="4" t="s">
        <v>41</v>
      </c>
      <c r="D14" s="3" t="s">
        <v>55</v>
      </c>
      <c r="E14" s="4" t="s">
        <v>54</v>
      </c>
      <c r="F14" s="3" t="s">
        <v>59</v>
      </c>
      <c r="G14" s="4" t="s">
        <v>64</v>
      </c>
      <c r="H14" s="3" t="s">
        <v>75</v>
      </c>
      <c r="I14" s="4" t="s">
        <v>71</v>
      </c>
      <c r="J14" s="3" cm="1">
        <f t="array" ref="J14">_xlfn.SWITCH(O14,
"Balance",300+GrowthType!$B$2*(EnemyStatus!R14-1),
"Atype",300+GrowthType!$B$3*(EnemyStatus!R14-1),
"Dtype",300+GrowthType!$B$4*(EnemyStatus!R14-1),
"Itype",300+GrowthType!$B$5*(EnemyStatus!R14-1),
"Stype",300+GrowthType!$B$6*(EnemyStatus!R14-1))</f>
        <v>350</v>
      </c>
      <c r="K14" s="3" cm="1">
        <f t="array" ref="K14">_xlfn.SWITCH(O14,
 "Balance", 60+GrowthType!$C$2*(EnemyStatus!R14-1),
 "Atype",   60+GrowthType!$C$3*(EnemyStatus!R14-1),
 "Dtype",   60+GrowthType!$C$4*(EnemyStatus!R14-1),
 "Itype",   60+GrowthType!$C$5*(EnemyStatus!R14-1),
 "Stype",   60+GrowthType!$C$6*(EnemyStatus!R14-1))</f>
        <v>65</v>
      </c>
      <c r="L14" s="3" cm="1">
        <f t="array" ref="L14">_xlfn.SWITCH(O14,
 "Balance", 60+GrowthType!$D$2*(EnemyStatus!R14-1),
 "Atype",   60+GrowthType!$D$3*(EnemyStatus!R14-1),
 "Dtype",   60+GrowthType!$D$4*(EnemyStatus!R14-1),
 "Itype",   60+GrowthType!$D$5*(EnemyStatus!R14-1),
 "Stype",   60+GrowthType!$D$6*(EnemyStatus!R14-1))</f>
        <v>70</v>
      </c>
      <c r="M14" s="3" cm="1">
        <f t="array" ref="M14">_xlfn.SWITCH(O14,
 "Balance", 40+GrowthType!$E$2*(EnemyStatus!R14-1),
 "Atype",   40+GrowthType!$E$3*(EnemyStatus!R14-1),
 "Dtype",   40+GrowthType!$E$4*(EnemyStatus!R14-1),
 "Itype",   40+GrowthType!$E$5*(EnemyStatus!R14-1),
 "Stype",   40+GrowthType!$E$6*(EnemyStatus!R14-1))</f>
        <v>65</v>
      </c>
      <c r="N14" s="3" cm="1">
        <f t="array" ref="N14">_xlfn.SWITCH(O14,
 "Balance", 40+GrowthType!$F$2*(EnemyStatus!R14-1),
 "Atype",   40+GrowthType!$F$3*(EnemyStatus!R14-1),
 "Dtype",   40+GrowthType!$F$4*(EnemyStatus!R14-1),
 "Itype",   40+GrowthType!$F$5*(EnemyStatus!R14-1),
 "Stype",   40+GrowthType!$F$6*(EnemyStatus!R14-1))</f>
        <v>50</v>
      </c>
      <c r="O14" s="3" t="s">
        <v>8</v>
      </c>
      <c r="P14" s="3" t="s">
        <v>150</v>
      </c>
      <c r="Q14" s="3">
        <v>-1</v>
      </c>
      <c r="R14" s="3">
        <v>12</v>
      </c>
      <c r="S14" s="3">
        <f t="shared" si="1"/>
        <v>31</v>
      </c>
    </row>
    <row r="15" spans="1:19" x14ac:dyDescent="0.55000000000000004">
      <c r="A15" s="3">
        <v>6004</v>
      </c>
      <c r="B15" s="3" t="s">
        <v>119</v>
      </c>
      <c r="C15" s="4" t="s">
        <v>44</v>
      </c>
      <c r="D15" s="3" t="s">
        <v>55</v>
      </c>
      <c r="E15" s="4" t="s">
        <v>54</v>
      </c>
      <c r="F15" s="3" t="s">
        <v>58</v>
      </c>
      <c r="G15" s="4" t="s">
        <v>63</v>
      </c>
      <c r="H15" s="3" t="s">
        <v>75</v>
      </c>
      <c r="I15" s="4" t="s">
        <v>71</v>
      </c>
      <c r="J15" s="3" cm="1">
        <f t="array" ref="J15">_xlfn.SWITCH(O15,
"Balance",300+GrowthType!$B$2*(EnemyStatus!R15-1),
"Atype",300+GrowthType!$B$3*(EnemyStatus!R15-1),
"Dtype",300+GrowthType!$B$4*(EnemyStatus!R15-1),
"Itype",300+GrowthType!$B$5*(EnemyStatus!R15-1),
"Stype",300+GrowthType!$B$6*(EnemyStatus!R15-1))</f>
        <v>360</v>
      </c>
      <c r="K15" s="3" cm="1">
        <f t="array" ref="K15">_xlfn.SWITCH(O15,
 "Balance", 60+GrowthType!$C$2*(EnemyStatus!R15-1),
 "Atype",   60+GrowthType!$C$3*(EnemyStatus!R15-1),
 "Dtype",   60+GrowthType!$C$4*(EnemyStatus!R15-1),
 "Itype",   60+GrowthType!$C$5*(EnemyStatus!R15-1),
 "Stype",   60+GrowthType!$C$6*(EnemyStatus!R15-1))</f>
        <v>66</v>
      </c>
      <c r="L15" s="3" cm="1">
        <f t="array" ref="L15">_xlfn.SWITCH(O15,
 "Balance", 60+GrowthType!$D$2*(EnemyStatus!R15-1),
 "Atype",   60+GrowthType!$D$3*(EnemyStatus!R15-1),
 "Dtype",   60+GrowthType!$D$4*(EnemyStatus!R15-1),
 "Itype",   60+GrowthType!$D$5*(EnemyStatus!R15-1),
 "Stype",   60+GrowthType!$D$6*(EnemyStatus!R15-1))</f>
        <v>72</v>
      </c>
      <c r="M15" s="3" cm="1">
        <f t="array" ref="M15">_xlfn.SWITCH(O15,
 "Balance", 40+GrowthType!$E$2*(EnemyStatus!R15-1),
 "Atype",   40+GrowthType!$E$3*(EnemyStatus!R15-1),
 "Dtype",   40+GrowthType!$E$4*(EnemyStatus!R15-1),
 "Itype",   40+GrowthType!$E$5*(EnemyStatus!R15-1),
 "Stype",   40+GrowthType!$E$6*(EnemyStatus!R15-1))</f>
        <v>70</v>
      </c>
      <c r="N15" s="3" cm="1">
        <f t="array" ref="N15">_xlfn.SWITCH(O15,
 "Balance", 40+GrowthType!$F$2*(EnemyStatus!R15-1),
 "Atype",   40+GrowthType!$F$3*(EnemyStatus!R15-1),
 "Dtype",   40+GrowthType!$F$4*(EnemyStatus!R15-1),
 "Itype",   40+GrowthType!$F$5*(EnemyStatus!R15-1),
 "Stype",   40+GrowthType!$F$6*(EnemyStatus!R15-1))</f>
        <v>52</v>
      </c>
      <c r="O15" s="3" t="s">
        <v>8</v>
      </c>
      <c r="P15" s="3" t="s">
        <v>150</v>
      </c>
      <c r="Q15" s="3">
        <v>-1</v>
      </c>
      <c r="R15" s="3">
        <v>10</v>
      </c>
      <c r="S15" s="3">
        <f t="shared" si="1"/>
        <v>29</v>
      </c>
    </row>
    <row r="16" spans="1:19" x14ac:dyDescent="0.55000000000000004">
      <c r="A16" s="3">
        <v>6005</v>
      </c>
      <c r="B16" s="3" t="s">
        <v>105</v>
      </c>
      <c r="C16" s="4" t="s">
        <v>49</v>
      </c>
      <c r="D16" s="3" t="s">
        <v>55</v>
      </c>
      <c r="E16" s="4" t="s">
        <v>54</v>
      </c>
      <c r="F16" s="3" t="s">
        <v>58</v>
      </c>
      <c r="G16" s="4" t="s">
        <v>63</v>
      </c>
      <c r="H16" s="3" t="s">
        <v>76</v>
      </c>
      <c r="I16" s="4" t="s">
        <v>72</v>
      </c>
      <c r="J16" s="3" cm="1">
        <f t="array" ref="J16">_xlfn.SWITCH(O16,
"Balance",300+GrowthType!$B$2*(EnemyStatus!R16-1),
"Atype",300+GrowthType!$B$3*(EnemyStatus!R16-1),
"Dtype",300+GrowthType!$B$4*(EnemyStatus!R16-1),
"Itype",300+GrowthType!$B$5*(EnemyStatus!R16-1),
"Stype",300+GrowthType!$B$6*(EnemyStatus!R16-1))</f>
        <v>335</v>
      </c>
      <c r="K16" s="3" cm="1">
        <f t="array" ref="K16">_xlfn.SWITCH(O16,
 "Balance", 60+GrowthType!$C$2*(EnemyStatus!R16-1),
 "Atype",   60+GrowthType!$C$3*(EnemyStatus!R16-1),
 "Dtype",   60+GrowthType!$C$4*(EnemyStatus!R16-1),
 "Itype",   60+GrowthType!$C$5*(EnemyStatus!R16-1),
 "Stype",   60+GrowthType!$C$6*(EnemyStatus!R16-1))</f>
        <v>74</v>
      </c>
      <c r="L16" s="3" cm="1">
        <f t="array" ref="L16">_xlfn.SWITCH(O16,
 "Balance", 60+GrowthType!$D$2*(EnemyStatus!R16-1),
 "Atype",   60+GrowthType!$D$3*(EnemyStatus!R16-1),
 "Dtype",   60+GrowthType!$D$4*(EnemyStatus!R16-1),
 "Itype",   60+GrowthType!$D$5*(EnemyStatus!R16-1),
 "Stype",   60+GrowthType!$D$6*(EnemyStatus!R16-1))</f>
        <v>67</v>
      </c>
      <c r="M16" s="3" cm="1">
        <f t="array" ref="M16">_xlfn.SWITCH(O16,
 "Balance", 40+GrowthType!$E$2*(EnemyStatus!R16-1),
 "Atype",   40+GrowthType!$E$3*(EnemyStatus!R16-1),
 "Dtype",   40+GrowthType!$E$4*(EnemyStatus!R16-1),
 "Itype",   40+GrowthType!$E$5*(EnemyStatus!R16-1),
 "Stype",   40+GrowthType!$E$6*(EnemyStatus!R16-1))</f>
        <v>54</v>
      </c>
      <c r="N16" s="3" cm="1">
        <f t="array" ref="N16">_xlfn.SWITCH(O16,
 "Balance", 40+GrowthType!$F$2*(EnemyStatus!R16-1),
 "Atype",   40+GrowthType!$F$3*(EnemyStatus!R16-1),
 "Dtype",   40+GrowthType!$F$4*(EnemyStatus!R16-1),
 "Itype",   40+GrowthType!$F$5*(EnemyStatus!R16-1),
 "Stype",   40+GrowthType!$F$6*(EnemyStatus!R16-1))</f>
        <v>75</v>
      </c>
      <c r="O16" s="3" t="s">
        <v>9</v>
      </c>
      <c r="P16" s="3" t="s">
        <v>151</v>
      </c>
      <c r="Q16" s="3">
        <v>-1</v>
      </c>
      <c r="R16" s="3">
        <v>11</v>
      </c>
      <c r="S16" s="3">
        <f t="shared" si="1"/>
        <v>30</v>
      </c>
    </row>
    <row r="17" spans="1:19" x14ac:dyDescent="0.55000000000000004">
      <c r="A17" s="3">
        <v>6006</v>
      </c>
      <c r="B17" s="3" t="s">
        <v>120</v>
      </c>
      <c r="C17" s="4" t="s">
        <v>47</v>
      </c>
      <c r="D17" s="3" t="s">
        <v>55</v>
      </c>
      <c r="E17" s="4" t="s">
        <v>54</v>
      </c>
      <c r="F17" s="3" t="s">
        <v>58</v>
      </c>
      <c r="G17" s="4" t="s">
        <v>63</v>
      </c>
      <c r="H17" s="3" t="s">
        <v>76</v>
      </c>
      <c r="I17" s="4" t="s">
        <v>72</v>
      </c>
      <c r="J17" s="3" cm="1">
        <f t="array" ref="J17">_xlfn.SWITCH(O17,
"Balance",300+GrowthType!$B$2*(EnemyStatus!R17-1),
"Atype",300+GrowthType!$B$3*(EnemyStatus!R17-1),
"Dtype",300+GrowthType!$B$4*(EnemyStatus!R17-1),
"Itype",300+GrowthType!$B$5*(EnemyStatus!R17-1),
"Stype",300+GrowthType!$B$6*(EnemyStatus!R17-1))</f>
        <v>325</v>
      </c>
      <c r="K17" s="3" cm="1">
        <f t="array" ref="K17">_xlfn.SWITCH(O17,
 "Balance", 60+GrowthType!$C$2*(EnemyStatus!R17-1),
 "Atype",   60+GrowthType!$C$3*(EnemyStatus!R17-1),
 "Dtype",   60+GrowthType!$C$4*(EnemyStatus!R17-1),
 "Itype",   60+GrowthType!$C$5*(EnemyStatus!R17-1),
 "Stype",   60+GrowthType!$C$6*(EnemyStatus!R17-1))</f>
        <v>70</v>
      </c>
      <c r="L17" s="3" cm="1">
        <f t="array" ref="L17">_xlfn.SWITCH(O17,
 "Balance", 60+GrowthType!$D$2*(EnemyStatus!R17-1),
 "Atype",   60+GrowthType!$D$3*(EnemyStatus!R17-1),
 "Dtype",   60+GrowthType!$D$4*(EnemyStatus!R17-1),
 "Itype",   60+GrowthType!$D$5*(EnemyStatus!R17-1),
 "Stype",   60+GrowthType!$D$6*(EnemyStatus!R17-1))</f>
        <v>65</v>
      </c>
      <c r="M17" s="3" cm="1">
        <f t="array" ref="M17">_xlfn.SWITCH(O17,
 "Balance", 40+GrowthType!$E$2*(EnemyStatus!R17-1),
 "Atype",   40+GrowthType!$E$3*(EnemyStatus!R17-1),
 "Dtype",   40+GrowthType!$E$4*(EnemyStatus!R17-1),
 "Itype",   40+GrowthType!$E$5*(EnemyStatus!R17-1),
 "Stype",   40+GrowthType!$E$6*(EnemyStatus!R17-1))</f>
        <v>50</v>
      </c>
      <c r="N17" s="3" cm="1">
        <f t="array" ref="N17">_xlfn.SWITCH(O17,
 "Balance", 40+GrowthType!$F$2*(EnemyStatus!R17-1),
 "Atype",   40+GrowthType!$F$3*(EnemyStatus!R17-1),
 "Dtype",   40+GrowthType!$F$4*(EnemyStatus!R17-1),
 "Itype",   40+GrowthType!$F$5*(EnemyStatus!R17-1),
 "Stype",   40+GrowthType!$F$6*(EnemyStatus!R17-1))</f>
        <v>65</v>
      </c>
      <c r="O17" s="3" t="s">
        <v>9</v>
      </c>
      <c r="P17" s="3" t="s">
        <v>151</v>
      </c>
      <c r="Q17" s="3">
        <v>-1</v>
      </c>
      <c r="R17" s="3">
        <v>12</v>
      </c>
      <c r="S17" s="3">
        <f t="shared" si="1"/>
        <v>31</v>
      </c>
    </row>
    <row r="18" spans="1:19" x14ac:dyDescent="0.55000000000000004">
      <c r="A18" s="3">
        <v>6007</v>
      </c>
      <c r="B18" s="3" t="s">
        <v>116</v>
      </c>
      <c r="C18" s="4" t="s">
        <v>48</v>
      </c>
      <c r="D18" s="3" t="s">
        <v>55</v>
      </c>
      <c r="E18" s="4" t="s">
        <v>54</v>
      </c>
      <c r="F18" s="3" t="s">
        <v>59</v>
      </c>
      <c r="G18" s="4" t="s">
        <v>64</v>
      </c>
      <c r="H18" s="3" t="s">
        <v>74</v>
      </c>
      <c r="I18" s="4" t="s">
        <v>70</v>
      </c>
      <c r="J18" s="3" cm="1">
        <f t="array" ref="J18">_xlfn.SWITCH(O18,
"Balance",300+GrowthType!$B$2*(EnemyStatus!R18-1),
"Atype",300+GrowthType!$B$3*(EnemyStatus!R18-1),
"Dtype",300+GrowthType!$B$4*(EnemyStatus!R18-1),
"Itype",300+GrowthType!$B$5*(EnemyStatus!R18-1),
"Stype",300+GrowthType!$B$6*(EnemyStatus!R18-1))</f>
        <v>450</v>
      </c>
      <c r="K18" s="3" cm="1">
        <f t="array" ref="K18">_xlfn.SWITCH(O18,
 "Balance", 60+GrowthType!$C$2*(EnemyStatus!R18-1),
 "Atype",   60+GrowthType!$C$3*(EnemyStatus!R18-1),
 "Dtype",   60+GrowthType!$C$4*(EnemyStatus!R18-1),
 "Itype",   60+GrowthType!$C$5*(EnemyStatus!R18-1),
 "Stype",   60+GrowthType!$C$6*(EnemyStatus!R18-1))</f>
        <v>72</v>
      </c>
      <c r="L18" s="3" cm="1">
        <f t="array" ref="L18">_xlfn.SWITCH(O18,
 "Balance", 60+GrowthType!$D$2*(EnemyStatus!R18-1),
 "Atype",   60+GrowthType!$D$3*(EnemyStatus!R18-1),
 "Dtype",   60+GrowthType!$D$4*(EnemyStatus!R18-1),
 "Itype",   60+GrowthType!$D$5*(EnemyStatus!R18-1),
 "Stype",   60+GrowthType!$D$6*(EnemyStatus!R18-1))</f>
        <v>90</v>
      </c>
      <c r="M18" s="3" cm="1">
        <f t="array" ref="M18">_xlfn.SWITCH(O18,
 "Balance", 40+GrowthType!$E$2*(EnemyStatus!R18-1),
 "Atype",   40+GrowthType!$E$3*(EnemyStatus!R18-1),
 "Dtype",   40+GrowthType!$E$4*(EnemyStatus!R18-1),
 "Itype",   40+GrowthType!$E$5*(EnemyStatus!R18-1),
 "Stype",   40+GrowthType!$E$6*(EnemyStatus!R18-1))</f>
        <v>52</v>
      </c>
      <c r="N18" s="3" cm="1">
        <f t="array" ref="N18">_xlfn.SWITCH(O18,
 "Balance", 40+GrowthType!$F$2*(EnemyStatus!R18-1),
 "Atype",   40+GrowthType!$F$3*(EnemyStatus!R18-1),
 "Dtype",   40+GrowthType!$F$4*(EnemyStatus!R18-1),
 "Itype",   40+GrowthType!$F$5*(EnemyStatus!R18-1),
 "Stype",   40+GrowthType!$F$6*(EnemyStatus!R18-1))</f>
        <v>46</v>
      </c>
      <c r="O18" s="3" t="s">
        <v>7</v>
      </c>
      <c r="P18" s="3" t="s">
        <v>149</v>
      </c>
      <c r="Q18" s="3">
        <v>-1</v>
      </c>
      <c r="R18" s="3">
        <v>12</v>
      </c>
      <c r="S18" s="3">
        <f t="shared" si="1"/>
        <v>31</v>
      </c>
    </row>
    <row r="19" spans="1:19" x14ac:dyDescent="0.55000000000000004">
      <c r="A19" s="3">
        <v>6008</v>
      </c>
      <c r="B19" s="3" t="s">
        <v>110</v>
      </c>
      <c r="C19" s="4" t="s">
        <v>50</v>
      </c>
      <c r="D19" s="3" t="s">
        <v>55</v>
      </c>
      <c r="E19" s="4" t="s">
        <v>54</v>
      </c>
      <c r="F19" s="3" t="s">
        <v>58</v>
      </c>
      <c r="G19" s="4" t="s">
        <v>63</v>
      </c>
      <c r="H19" s="3" t="s">
        <v>74</v>
      </c>
      <c r="I19" s="4" t="s">
        <v>70</v>
      </c>
      <c r="J19" s="3" cm="1">
        <f t="array" ref="J19">_xlfn.SWITCH(O19,
"Balance",300+GrowthType!$B$2*(EnemyStatus!R19-1),
"Atype",300+GrowthType!$B$3*(EnemyStatus!R19-1),
"Dtype",300+GrowthType!$B$4*(EnemyStatus!R19-1),
"Itype",300+GrowthType!$B$5*(EnemyStatus!R19-1),
"Stype",300+GrowthType!$B$6*(EnemyStatus!R19-1))</f>
        <v>400</v>
      </c>
      <c r="K19" s="3" cm="1">
        <f t="array" ref="K19">_xlfn.SWITCH(O19,
 "Balance", 60+GrowthType!$C$2*(EnemyStatus!R19-1),
 "Atype",   60+GrowthType!$C$3*(EnemyStatus!R19-1),
 "Dtype",   60+GrowthType!$C$4*(EnemyStatus!R19-1),
 "Itype",   60+GrowthType!$C$5*(EnemyStatus!R19-1),
 "Stype",   60+GrowthType!$C$6*(EnemyStatus!R19-1))</f>
        <v>68</v>
      </c>
      <c r="L19" s="3" cm="1">
        <f t="array" ref="L19">_xlfn.SWITCH(O19,
 "Balance", 60+GrowthType!$D$2*(EnemyStatus!R19-1),
 "Atype",   60+GrowthType!$D$3*(EnemyStatus!R19-1),
 "Dtype",   60+GrowthType!$D$4*(EnemyStatus!R19-1),
 "Itype",   60+GrowthType!$D$5*(EnemyStatus!R19-1),
 "Stype",   60+GrowthType!$D$6*(EnemyStatus!R19-1))</f>
        <v>80</v>
      </c>
      <c r="M19" s="3" cm="1">
        <f t="array" ref="M19">_xlfn.SWITCH(O19,
 "Balance", 40+GrowthType!$E$2*(EnemyStatus!R19-1),
 "Atype",   40+GrowthType!$E$3*(EnemyStatus!R19-1),
 "Dtype",   40+GrowthType!$E$4*(EnemyStatus!R19-1),
 "Itype",   40+GrowthType!$E$5*(EnemyStatus!R19-1),
 "Stype",   40+GrowthType!$E$6*(EnemyStatus!R19-1))</f>
        <v>48</v>
      </c>
      <c r="N19" s="3" cm="1">
        <f t="array" ref="N19">_xlfn.SWITCH(O19,
 "Balance", 40+GrowthType!$F$2*(EnemyStatus!R19-1),
 "Atype",   40+GrowthType!$F$3*(EnemyStatus!R19-1),
 "Dtype",   40+GrowthType!$F$4*(EnemyStatus!R19-1),
 "Itype",   40+GrowthType!$F$5*(EnemyStatus!R19-1),
 "Stype",   40+GrowthType!$F$6*(EnemyStatus!R19-1))</f>
        <v>44</v>
      </c>
      <c r="O19" s="3" t="s">
        <v>7</v>
      </c>
      <c r="P19" s="3" t="s">
        <v>149</v>
      </c>
      <c r="Q19" s="3">
        <v>-1</v>
      </c>
      <c r="R19" s="3">
        <v>13</v>
      </c>
      <c r="S19" s="3">
        <f t="shared" si="1"/>
        <v>32</v>
      </c>
    </row>
    <row r="20" spans="1:19" x14ac:dyDescent="0.55000000000000004">
      <c r="A20" s="3">
        <v>6009</v>
      </c>
      <c r="B20" s="3" t="s">
        <v>113</v>
      </c>
      <c r="C20" s="4" t="s">
        <v>52</v>
      </c>
      <c r="D20" s="3" t="s">
        <v>55</v>
      </c>
      <c r="E20" s="4" t="s">
        <v>54</v>
      </c>
      <c r="F20" s="3" t="s">
        <v>60</v>
      </c>
      <c r="G20" s="4" t="s">
        <v>65</v>
      </c>
      <c r="H20" s="3" t="s">
        <v>75</v>
      </c>
      <c r="I20" s="4" t="s">
        <v>71</v>
      </c>
      <c r="J20" s="3" cm="1">
        <f t="array" ref="J20">_xlfn.SWITCH(O20,
"Balance",300+GrowthType!$B$2*(EnemyStatus!R20-1),
"Atype",300+GrowthType!$B$3*(EnemyStatus!R20-1),
"Dtype",300+GrowthType!$B$4*(EnemyStatus!R20-1),
"Itype",300+GrowthType!$B$5*(EnemyStatus!R20-1),
"Stype",300+GrowthType!$B$6*(EnemyStatus!R20-1))</f>
        <v>400</v>
      </c>
      <c r="K20" s="3" cm="1">
        <f t="array" ref="K20">_xlfn.SWITCH(O20,
 "Balance", 60+GrowthType!$C$2*(EnemyStatus!R20-1),
 "Atype",   60+GrowthType!$C$3*(EnemyStatus!R20-1),
 "Dtype",   60+GrowthType!$C$4*(EnemyStatus!R20-1),
 "Itype",   60+GrowthType!$C$5*(EnemyStatus!R20-1),
 "Stype",   60+GrowthType!$C$6*(EnemyStatus!R20-1))</f>
        <v>70</v>
      </c>
      <c r="L20" s="3" cm="1">
        <f t="array" ref="L20">_xlfn.SWITCH(O20,
 "Balance", 60+GrowthType!$D$2*(EnemyStatus!R20-1),
 "Atype",   60+GrowthType!$D$3*(EnemyStatus!R20-1),
 "Dtype",   60+GrowthType!$D$4*(EnemyStatus!R20-1),
 "Itype",   60+GrowthType!$D$5*(EnemyStatus!R20-1),
 "Stype",   60+GrowthType!$D$6*(EnemyStatus!R20-1))</f>
        <v>80</v>
      </c>
      <c r="M20" s="3" cm="1">
        <f t="array" ref="M20">_xlfn.SWITCH(O20,
 "Balance", 40+GrowthType!$E$2*(EnemyStatus!R20-1),
 "Atype",   40+GrowthType!$E$3*(EnemyStatus!R20-1),
 "Dtype",   40+GrowthType!$E$4*(EnemyStatus!R20-1),
 "Itype",   40+GrowthType!$E$5*(EnemyStatus!R20-1),
 "Stype",   40+GrowthType!$E$6*(EnemyStatus!R20-1))</f>
        <v>90</v>
      </c>
      <c r="N20" s="3" cm="1">
        <f t="array" ref="N20">_xlfn.SWITCH(O20,
 "Balance", 40+GrowthType!$F$2*(EnemyStatus!R20-1),
 "Atype",   40+GrowthType!$F$3*(EnemyStatus!R20-1),
 "Dtype",   40+GrowthType!$F$4*(EnemyStatus!R20-1),
 "Itype",   40+GrowthType!$F$5*(EnemyStatus!R20-1),
 "Stype",   40+GrowthType!$F$6*(EnemyStatus!R20-1))</f>
        <v>60</v>
      </c>
      <c r="O20" s="3" t="s">
        <v>8</v>
      </c>
      <c r="P20" s="3" t="s">
        <v>150</v>
      </c>
      <c r="Q20" s="3">
        <v>-1</v>
      </c>
      <c r="R20" s="3">
        <v>16</v>
      </c>
      <c r="S20" s="3">
        <f t="shared" si="1"/>
        <v>35</v>
      </c>
    </row>
    <row r="21" spans="1:19" x14ac:dyDescent="0.55000000000000004">
      <c r="A21" s="3">
        <v>6010</v>
      </c>
      <c r="B21" s="3" t="s">
        <v>109</v>
      </c>
      <c r="C21" s="4" t="s">
        <v>51</v>
      </c>
      <c r="D21" s="3" t="s">
        <v>55</v>
      </c>
      <c r="E21" s="4" t="s">
        <v>54</v>
      </c>
      <c r="F21" s="3" t="s">
        <v>61</v>
      </c>
      <c r="G21" s="4" t="s">
        <v>66</v>
      </c>
      <c r="H21" s="3" t="s">
        <v>73</v>
      </c>
      <c r="I21" s="4" t="s">
        <v>69</v>
      </c>
      <c r="J21" s="3" cm="1">
        <f t="array" ref="J21">_xlfn.SWITCH(O21,
"Balance",300+GrowthType!$B$2*(EnemyStatus!R21-1),
"Atype",300+GrowthType!$B$3*(EnemyStatus!R21-1),
"Dtype",300+GrowthType!$B$4*(EnemyStatus!R21-1),
"Itype",300+GrowthType!$B$5*(EnemyStatus!R21-1),
"Stype",300+GrowthType!$B$6*(EnemyStatus!R21-1))</f>
        <v>390</v>
      </c>
      <c r="K21" s="3" cm="1">
        <f t="array" ref="K21">_xlfn.SWITCH(O21,
 "Balance", 60+GrowthType!$C$2*(EnemyStatus!R21-1),
 "Atype",   60+GrowthType!$C$3*(EnemyStatus!R21-1),
 "Dtype",   60+GrowthType!$C$4*(EnemyStatus!R21-1),
 "Itype",   60+GrowthType!$C$5*(EnemyStatus!R21-1),
 "Stype",   60+GrowthType!$C$6*(EnemyStatus!R21-1))</f>
        <v>105</v>
      </c>
      <c r="L21" s="3" cm="1">
        <f t="array" ref="L21">_xlfn.SWITCH(O21,
 "Balance", 60+GrowthType!$D$2*(EnemyStatus!R21-1),
 "Atype",   60+GrowthType!$D$3*(EnemyStatus!R21-1),
 "Dtype",   60+GrowthType!$D$4*(EnemyStatus!R21-1),
 "Itype",   60+GrowthType!$D$5*(EnemyStatus!R21-1),
 "Stype",   60+GrowthType!$D$6*(EnemyStatus!R21-1))</f>
        <v>78</v>
      </c>
      <c r="M21" s="3" cm="1">
        <f t="array" ref="M21">_xlfn.SWITCH(O21,
 "Balance", 40+GrowthType!$E$2*(EnemyStatus!R21-1),
 "Atype",   40+GrowthType!$E$3*(EnemyStatus!R21-1),
 "Dtype",   40+GrowthType!$E$4*(EnemyStatus!R21-1),
 "Itype",   40+GrowthType!$E$5*(EnemyStatus!R21-1),
 "Stype",   40+GrowthType!$E$6*(EnemyStatus!R21-1))</f>
        <v>49</v>
      </c>
      <c r="N21" s="3" cm="1">
        <f t="array" ref="N21">_xlfn.SWITCH(O21,
 "Balance", 40+GrowthType!$F$2*(EnemyStatus!R21-1),
 "Atype",   40+GrowthType!$F$3*(EnemyStatus!R21-1),
 "Dtype",   40+GrowthType!$F$4*(EnemyStatus!R21-1),
 "Itype",   40+GrowthType!$F$5*(EnemyStatus!R21-1),
 "Stype",   40+GrowthType!$F$6*(EnemyStatus!R21-1))</f>
        <v>58</v>
      </c>
      <c r="O21" s="3" t="s">
        <v>6</v>
      </c>
      <c r="P21" s="3" t="s">
        <v>148</v>
      </c>
      <c r="Q21" s="3">
        <v>-1</v>
      </c>
      <c r="R21" s="3">
        <v>14</v>
      </c>
      <c r="S21" s="3">
        <f t="shared" si="1"/>
        <v>33</v>
      </c>
    </row>
    <row r="22" spans="1:19" x14ac:dyDescent="0.55000000000000004">
      <c r="A22" s="3">
        <v>6011</v>
      </c>
      <c r="B22" s="3" t="s">
        <v>106</v>
      </c>
      <c r="C22" s="4" t="s">
        <v>43</v>
      </c>
      <c r="D22" s="3" t="s">
        <v>55</v>
      </c>
      <c r="E22" s="4" t="s">
        <v>54</v>
      </c>
      <c r="F22" s="3" t="s">
        <v>61</v>
      </c>
      <c r="G22" s="4" t="s">
        <v>66</v>
      </c>
      <c r="H22" s="3" t="s">
        <v>76</v>
      </c>
      <c r="I22" s="4" t="s">
        <v>72</v>
      </c>
      <c r="J22" s="3" cm="1">
        <f t="array" ref="J22">_xlfn.SWITCH(O22,
"Balance",300+GrowthType!$B$2*(EnemyStatus!R22-1),
"Atype",300+GrowthType!$B$3*(EnemyStatus!R22-1),
"Dtype",300+GrowthType!$B$4*(EnemyStatus!R22-1),
"Itype",300+GrowthType!$B$5*(EnemyStatus!R22-1),
"Stype",300+GrowthType!$B$6*(EnemyStatus!R22-1))</f>
        <v>355</v>
      </c>
      <c r="K22" s="3" cm="1">
        <f t="array" ref="K22">_xlfn.SWITCH(O22,
 "Balance", 60+GrowthType!$C$2*(EnemyStatus!R22-1),
 "Atype",   60+GrowthType!$C$3*(EnemyStatus!R22-1),
 "Dtype",   60+GrowthType!$C$4*(EnemyStatus!R22-1),
 "Itype",   60+GrowthType!$C$5*(EnemyStatus!R22-1),
 "Stype",   60+GrowthType!$C$6*(EnemyStatus!R22-1))</f>
        <v>82</v>
      </c>
      <c r="L22" s="3" cm="1">
        <f t="array" ref="L22">_xlfn.SWITCH(O22,
 "Balance", 60+GrowthType!$D$2*(EnemyStatus!R22-1),
 "Atype",   60+GrowthType!$D$3*(EnemyStatus!R22-1),
 "Dtype",   60+GrowthType!$D$4*(EnemyStatus!R22-1),
 "Itype",   60+GrowthType!$D$5*(EnemyStatus!R22-1),
 "Stype",   60+GrowthType!$D$6*(EnemyStatus!R22-1))</f>
        <v>71</v>
      </c>
      <c r="M22" s="3" cm="1">
        <f t="array" ref="M22">_xlfn.SWITCH(O22,
 "Balance", 40+GrowthType!$E$2*(EnemyStatus!R22-1),
 "Atype",   40+GrowthType!$E$3*(EnemyStatus!R22-1),
 "Dtype",   40+GrowthType!$E$4*(EnemyStatus!R22-1),
 "Itype",   40+GrowthType!$E$5*(EnemyStatus!R22-1),
 "Stype",   40+GrowthType!$E$6*(EnemyStatus!R22-1))</f>
        <v>62</v>
      </c>
      <c r="N22" s="3" cm="1">
        <f t="array" ref="N22">_xlfn.SWITCH(O22,
 "Balance", 40+GrowthType!$F$2*(EnemyStatus!R22-1),
 "Atype",   40+GrowthType!$F$3*(EnemyStatus!R22-1),
 "Dtype",   40+GrowthType!$F$4*(EnemyStatus!R22-1),
 "Itype",   40+GrowthType!$F$5*(EnemyStatus!R22-1),
 "Stype",   40+GrowthType!$F$6*(EnemyStatus!R22-1))</f>
        <v>95</v>
      </c>
      <c r="O22" s="3" t="s">
        <v>9</v>
      </c>
      <c r="P22" s="3" t="s">
        <v>151</v>
      </c>
      <c r="Q22" s="3">
        <v>-1</v>
      </c>
      <c r="R22" s="3">
        <v>13</v>
      </c>
      <c r="S22" s="3">
        <f t="shared" si="1"/>
        <v>32</v>
      </c>
    </row>
    <row r="23" spans="1:19" x14ac:dyDescent="0.55000000000000004">
      <c r="A23" s="3">
        <v>6012</v>
      </c>
      <c r="B23" s="3" t="s">
        <v>122</v>
      </c>
      <c r="C23" s="4" t="s">
        <v>35</v>
      </c>
      <c r="D23" s="3" t="s">
        <v>55</v>
      </c>
      <c r="E23" s="4" t="s">
        <v>54</v>
      </c>
      <c r="F23" s="3" t="s">
        <v>62</v>
      </c>
      <c r="G23" s="4" t="s">
        <v>67</v>
      </c>
      <c r="H23" s="3" t="s">
        <v>73</v>
      </c>
      <c r="I23" s="4" t="s">
        <v>69</v>
      </c>
      <c r="J23" s="3" cm="1">
        <f t="array" ref="J23">_xlfn.SWITCH(O23,
"Balance",300+GrowthType!$B$2*(EnemyStatus!R23-1),
"Atype",300+GrowthType!$B$3*(EnemyStatus!R23-1),
"Dtype",300+GrowthType!$B$4*(EnemyStatus!R23-1),
"Itype",300+GrowthType!$B$5*(EnemyStatus!R23-1),
"Stype",300+GrowthType!$B$6*(EnemyStatus!R23-1))</f>
        <v>420</v>
      </c>
      <c r="K23" s="3" cm="1">
        <f t="array" ref="K23">_xlfn.SWITCH(O23,
 "Balance", 60+GrowthType!$C$2*(EnemyStatus!R23-1),
 "Atype",   60+GrowthType!$C$3*(EnemyStatus!R23-1),
 "Dtype",   60+GrowthType!$C$4*(EnemyStatus!R23-1),
 "Itype",   60+GrowthType!$C$5*(EnemyStatus!R23-1),
 "Stype",   60+GrowthType!$C$6*(EnemyStatus!R23-1))</f>
        <v>120</v>
      </c>
      <c r="L23" s="3" cm="1">
        <f t="array" ref="L23">_xlfn.SWITCH(O23,
 "Balance", 60+GrowthType!$D$2*(EnemyStatus!R23-1),
 "Atype",   60+GrowthType!$D$3*(EnemyStatus!R23-1),
 "Dtype",   60+GrowthType!$D$4*(EnemyStatus!R23-1),
 "Itype",   60+GrowthType!$D$5*(EnemyStatus!R23-1),
 "Stype",   60+GrowthType!$D$6*(EnemyStatus!R23-1))</f>
        <v>84</v>
      </c>
      <c r="M23" s="3" cm="1">
        <f t="array" ref="M23">_xlfn.SWITCH(O23,
 "Balance", 40+GrowthType!$E$2*(EnemyStatus!R23-1),
 "Atype",   40+GrowthType!$E$3*(EnemyStatus!R23-1),
 "Dtype",   40+GrowthType!$E$4*(EnemyStatus!R23-1),
 "Itype",   40+GrowthType!$E$5*(EnemyStatus!R23-1),
 "Stype",   40+GrowthType!$E$6*(EnemyStatus!R23-1))</f>
        <v>52</v>
      </c>
      <c r="N23" s="3" cm="1">
        <f t="array" ref="N23">_xlfn.SWITCH(O23,
 "Balance", 40+GrowthType!$F$2*(EnemyStatus!R23-1),
 "Atype",   40+GrowthType!$F$3*(EnemyStatus!R23-1),
 "Dtype",   40+GrowthType!$F$4*(EnemyStatus!R23-1),
 "Itype",   40+GrowthType!$F$5*(EnemyStatus!R23-1),
 "Stype",   40+GrowthType!$F$6*(EnemyStatus!R23-1))</f>
        <v>64</v>
      </c>
      <c r="O23" s="3" t="s">
        <v>6</v>
      </c>
      <c r="P23" s="3" t="s">
        <v>148</v>
      </c>
      <c r="Q23" s="3">
        <v>-1</v>
      </c>
      <c r="R23" s="3">
        <v>18</v>
      </c>
      <c r="S23" s="3">
        <f t="shared" si="1"/>
        <v>37</v>
      </c>
    </row>
    <row r="24" spans="1:19" x14ac:dyDescent="0.55000000000000004">
      <c r="A24" s="3">
        <v>6013</v>
      </c>
      <c r="B24" s="3" t="s">
        <v>111</v>
      </c>
      <c r="C24" s="4" t="s">
        <v>37</v>
      </c>
      <c r="D24" s="3" t="s">
        <v>55</v>
      </c>
      <c r="E24" s="4" t="s">
        <v>54</v>
      </c>
      <c r="F24" s="3" t="s">
        <v>61</v>
      </c>
      <c r="G24" s="4" t="s">
        <v>66</v>
      </c>
      <c r="H24" s="3" t="s">
        <v>73</v>
      </c>
      <c r="I24" s="4" t="s">
        <v>69</v>
      </c>
      <c r="J24" s="3" cm="1">
        <f t="array" ref="J24">_xlfn.SWITCH(O24,
"Balance",300+GrowthType!$B$2*(EnemyStatus!R24-1),
"Atype",300+GrowthType!$B$3*(EnemyStatus!R24-1),
"Dtype",300+GrowthType!$B$4*(EnemyStatus!R24-1),
"Itype",300+GrowthType!$B$5*(EnemyStatus!R24-1),
"Stype",300+GrowthType!$B$6*(EnemyStatus!R24-1))</f>
        <v>420</v>
      </c>
      <c r="K24" s="3" cm="1">
        <f t="array" ref="K24">_xlfn.SWITCH(O24,
 "Balance", 60+GrowthType!$C$2*(EnemyStatus!R24-1),
 "Atype",   60+GrowthType!$C$3*(EnemyStatus!R24-1),
 "Dtype",   60+GrowthType!$C$4*(EnemyStatus!R24-1),
 "Itype",   60+GrowthType!$C$5*(EnemyStatus!R24-1),
 "Stype",   60+GrowthType!$C$6*(EnemyStatus!R24-1))</f>
        <v>120</v>
      </c>
      <c r="L24" s="3" cm="1">
        <f t="array" ref="L24">_xlfn.SWITCH(O24,
 "Balance", 60+GrowthType!$D$2*(EnemyStatus!R24-1),
 "Atype",   60+GrowthType!$D$3*(EnemyStatus!R24-1),
 "Dtype",   60+GrowthType!$D$4*(EnemyStatus!R24-1),
 "Itype",   60+GrowthType!$D$5*(EnemyStatus!R24-1),
 "Stype",   60+GrowthType!$D$6*(EnemyStatus!R24-1))</f>
        <v>84</v>
      </c>
      <c r="M24" s="3" cm="1">
        <f t="array" ref="M24">_xlfn.SWITCH(O24,
 "Balance", 40+GrowthType!$E$2*(EnemyStatus!R24-1),
 "Atype",   40+GrowthType!$E$3*(EnemyStatus!R24-1),
 "Dtype",   40+GrowthType!$E$4*(EnemyStatus!R24-1),
 "Itype",   40+GrowthType!$E$5*(EnemyStatus!R24-1),
 "Stype",   40+GrowthType!$E$6*(EnemyStatus!R24-1))</f>
        <v>52</v>
      </c>
      <c r="N24" s="3" cm="1">
        <f t="array" ref="N24">_xlfn.SWITCH(O24,
 "Balance", 40+GrowthType!$F$2*(EnemyStatus!R24-1),
 "Atype",   40+GrowthType!$F$3*(EnemyStatus!R24-1),
 "Dtype",   40+GrowthType!$F$4*(EnemyStatus!R24-1),
 "Itype",   40+GrowthType!$F$5*(EnemyStatus!R24-1),
 "Stype",   40+GrowthType!$F$6*(EnemyStatus!R24-1))</f>
        <v>64</v>
      </c>
      <c r="O24" s="3" t="s">
        <v>6</v>
      </c>
      <c r="P24" s="3" t="s">
        <v>148</v>
      </c>
      <c r="Q24" s="3">
        <v>-1</v>
      </c>
      <c r="R24" s="3">
        <v>19</v>
      </c>
      <c r="S24" s="3">
        <f t="shared" si="1"/>
        <v>38</v>
      </c>
    </row>
    <row r="25" spans="1:19" x14ac:dyDescent="0.55000000000000004">
      <c r="A25" s="3">
        <v>6014</v>
      </c>
      <c r="B25" s="3" t="s">
        <v>118</v>
      </c>
      <c r="C25" s="4" t="s">
        <v>42</v>
      </c>
      <c r="D25" s="3" t="s">
        <v>55</v>
      </c>
      <c r="E25" s="4" t="s">
        <v>54</v>
      </c>
      <c r="F25" s="3" t="s">
        <v>59</v>
      </c>
      <c r="G25" s="4" t="s">
        <v>64</v>
      </c>
      <c r="H25" s="3" t="s">
        <v>76</v>
      </c>
      <c r="I25" s="4" t="s">
        <v>72</v>
      </c>
      <c r="J25" s="3" cm="1">
        <f t="array" ref="J25">_xlfn.SWITCH(O25,
"Balance",300+GrowthType!$B$2*(EnemyStatus!R25-1),
"Atype",300+GrowthType!$B$3*(EnemyStatus!R25-1),
"Dtype",300+GrowthType!$B$4*(EnemyStatus!R25-1),
"Itype",300+GrowthType!$B$5*(EnemyStatus!R25-1),
"Stype",300+GrowthType!$B$6*(EnemyStatus!R25-1))</f>
        <v>350</v>
      </c>
      <c r="K25" s="3" cm="1">
        <f t="array" ref="K25">_xlfn.SWITCH(O25,
 "Balance", 60+GrowthType!$C$2*(EnemyStatus!R25-1),
 "Atype",   60+GrowthType!$C$3*(EnemyStatus!R25-1),
 "Dtype",   60+GrowthType!$C$4*(EnemyStatus!R25-1),
 "Itype",   60+GrowthType!$C$5*(EnemyStatus!R25-1),
 "Stype",   60+GrowthType!$C$6*(EnemyStatus!R25-1))</f>
        <v>80</v>
      </c>
      <c r="L25" s="3" cm="1">
        <f t="array" ref="L25">_xlfn.SWITCH(O25,
 "Balance", 60+GrowthType!$D$2*(EnemyStatus!R25-1),
 "Atype",   60+GrowthType!$D$3*(EnemyStatus!R25-1),
 "Dtype",   60+GrowthType!$D$4*(EnemyStatus!R25-1),
 "Itype",   60+GrowthType!$D$5*(EnemyStatus!R25-1),
 "Stype",   60+GrowthType!$D$6*(EnemyStatus!R25-1))</f>
        <v>70</v>
      </c>
      <c r="M25" s="3" cm="1">
        <f t="array" ref="M25">_xlfn.SWITCH(O25,
 "Balance", 40+GrowthType!$E$2*(EnemyStatus!R25-1),
 "Atype",   40+GrowthType!$E$3*(EnemyStatus!R25-1),
 "Dtype",   40+GrowthType!$E$4*(EnemyStatus!R25-1),
 "Itype",   40+GrowthType!$E$5*(EnemyStatus!R25-1),
 "Stype",   40+GrowthType!$E$6*(EnemyStatus!R25-1))</f>
        <v>60</v>
      </c>
      <c r="N25" s="3" cm="1">
        <f t="array" ref="N25">_xlfn.SWITCH(O25,
 "Balance", 40+GrowthType!$F$2*(EnemyStatus!R25-1),
 "Atype",   40+GrowthType!$F$3*(EnemyStatus!R25-1),
 "Dtype",   40+GrowthType!$F$4*(EnemyStatus!R25-1),
 "Itype",   40+GrowthType!$F$5*(EnemyStatus!R25-1),
 "Stype",   40+GrowthType!$F$6*(EnemyStatus!R25-1))</f>
        <v>90</v>
      </c>
      <c r="O25" s="3" t="s">
        <v>9</v>
      </c>
      <c r="P25" s="3" t="s">
        <v>151</v>
      </c>
      <c r="Q25" s="3">
        <v>-1</v>
      </c>
      <c r="R25" s="3">
        <v>18</v>
      </c>
      <c r="S25" s="3">
        <f t="shared" si="1"/>
        <v>37</v>
      </c>
    </row>
    <row r="26" spans="1:19" x14ac:dyDescent="0.55000000000000004">
      <c r="A26" s="3">
        <v>6015</v>
      </c>
      <c r="B26" s="3" t="s">
        <v>121</v>
      </c>
      <c r="C26" s="4" t="s">
        <v>45</v>
      </c>
      <c r="D26" s="3" t="s">
        <v>55</v>
      </c>
      <c r="E26" s="4" t="s">
        <v>54</v>
      </c>
      <c r="F26" s="3" t="s">
        <v>58</v>
      </c>
      <c r="G26" s="4" t="s">
        <v>63</v>
      </c>
      <c r="H26" s="3" t="s">
        <v>74</v>
      </c>
      <c r="I26" s="4" t="s">
        <v>70</v>
      </c>
      <c r="J26" s="3" cm="1">
        <f t="array" ref="J26">_xlfn.SWITCH(O26,
"Balance",300+GrowthType!$B$2*(EnemyStatus!R26-1),
"Atype",300+GrowthType!$B$3*(EnemyStatus!R26-1),
"Dtype",300+GrowthType!$B$4*(EnemyStatus!R26-1),
"Itype",300+GrowthType!$B$5*(EnemyStatus!R26-1),
"Stype",300+GrowthType!$B$6*(EnemyStatus!R26-1))</f>
        <v>600</v>
      </c>
      <c r="K26" s="3" cm="1">
        <f t="array" ref="K26">_xlfn.SWITCH(O26,
 "Balance", 60+GrowthType!$C$2*(EnemyStatus!R26-1),
 "Atype",   60+GrowthType!$C$3*(EnemyStatus!R26-1),
 "Dtype",   60+GrowthType!$C$4*(EnemyStatus!R26-1),
 "Itype",   60+GrowthType!$C$5*(EnemyStatus!R26-1),
 "Stype",   60+GrowthType!$C$6*(EnemyStatus!R26-1))</f>
        <v>84</v>
      </c>
      <c r="L26" s="3" cm="1">
        <f t="array" ref="L26">_xlfn.SWITCH(O26,
 "Balance", 60+GrowthType!$D$2*(EnemyStatus!R26-1),
 "Atype",   60+GrowthType!$D$3*(EnemyStatus!R26-1),
 "Dtype",   60+GrowthType!$D$4*(EnemyStatus!R26-1),
 "Itype",   60+GrowthType!$D$5*(EnemyStatus!R26-1),
 "Stype",   60+GrowthType!$D$6*(EnemyStatus!R26-1))</f>
        <v>120</v>
      </c>
      <c r="M26" s="3" cm="1">
        <f t="array" ref="M26">_xlfn.SWITCH(O26,
 "Balance", 40+GrowthType!$E$2*(EnemyStatus!R26-1),
 "Atype",   40+GrowthType!$E$3*(EnemyStatus!R26-1),
 "Dtype",   40+GrowthType!$E$4*(EnemyStatus!R26-1),
 "Itype",   40+GrowthType!$E$5*(EnemyStatus!R26-1),
 "Stype",   40+GrowthType!$E$6*(EnemyStatus!R26-1))</f>
        <v>64</v>
      </c>
      <c r="N26" s="3" cm="1">
        <f t="array" ref="N26">_xlfn.SWITCH(O26,
 "Balance", 40+GrowthType!$F$2*(EnemyStatus!R26-1),
 "Atype",   40+GrowthType!$F$3*(EnemyStatus!R26-1),
 "Dtype",   40+GrowthType!$F$4*(EnemyStatus!R26-1),
 "Itype",   40+GrowthType!$F$5*(EnemyStatus!R26-1),
 "Stype",   40+GrowthType!$F$6*(EnemyStatus!R26-1))</f>
        <v>52</v>
      </c>
      <c r="O26" s="3" t="s">
        <v>7</v>
      </c>
      <c r="P26" s="3" t="s">
        <v>149</v>
      </c>
      <c r="Q26" s="3">
        <v>-1</v>
      </c>
      <c r="R26" s="3">
        <v>15</v>
      </c>
      <c r="S26" s="3">
        <f t="shared" si="1"/>
        <v>34</v>
      </c>
    </row>
    <row r="27" spans="1:19" x14ac:dyDescent="0.55000000000000004">
      <c r="A27" s="3">
        <v>6016</v>
      </c>
      <c r="B27" s="3" t="s">
        <v>114</v>
      </c>
      <c r="C27" s="4" t="s">
        <v>46</v>
      </c>
      <c r="D27" s="3" t="s">
        <v>55</v>
      </c>
      <c r="E27" s="4" t="s">
        <v>54</v>
      </c>
      <c r="F27" s="3" t="s">
        <v>59</v>
      </c>
      <c r="G27" s="4" t="s">
        <v>64</v>
      </c>
      <c r="H27" s="3" t="s">
        <v>75</v>
      </c>
      <c r="I27" s="4" t="s">
        <v>71</v>
      </c>
      <c r="J27" s="3" cm="1">
        <f t="array" ref="J27">_xlfn.SWITCH(O27,
"Balance",300+GrowthType!$B$2*(EnemyStatus!R27-1),
"Atype",300+GrowthType!$B$3*(EnemyStatus!R27-1),
"Dtype",300+GrowthType!$B$4*(EnemyStatus!R27-1),
"Itype",300+GrowthType!$B$5*(EnemyStatus!R27-1),
"Stype",300+GrowthType!$B$6*(EnemyStatus!R27-1))</f>
        <v>420</v>
      </c>
      <c r="K27" s="3" cm="1">
        <f t="array" ref="K27">_xlfn.SWITCH(O27,
 "Balance", 60+GrowthType!$C$2*(EnemyStatus!R27-1),
 "Atype",   60+GrowthType!$C$3*(EnemyStatus!R27-1),
 "Dtype",   60+GrowthType!$C$4*(EnemyStatus!R27-1),
 "Itype",   60+GrowthType!$C$5*(EnemyStatus!R27-1),
 "Stype",   60+GrowthType!$C$6*(EnemyStatus!R27-1))</f>
        <v>72</v>
      </c>
      <c r="L27" s="3" cm="1">
        <f t="array" ref="L27">_xlfn.SWITCH(O27,
 "Balance", 60+GrowthType!$D$2*(EnemyStatus!R27-1),
 "Atype",   60+GrowthType!$D$3*(EnemyStatus!R27-1),
 "Dtype",   60+GrowthType!$D$4*(EnemyStatus!R27-1),
 "Itype",   60+GrowthType!$D$5*(EnemyStatus!R27-1),
 "Stype",   60+GrowthType!$D$6*(EnemyStatus!R27-1))</f>
        <v>84</v>
      </c>
      <c r="M27" s="3" cm="1">
        <f t="array" ref="M27">_xlfn.SWITCH(O27,
 "Balance", 40+GrowthType!$E$2*(EnemyStatus!R27-1),
 "Atype",   40+GrowthType!$E$3*(EnemyStatus!R27-1),
 "Dtype",   40+GrowthType!$E$4*(EnemyStatus!R27-1),
 "Itype",   40+GrowthType!$E$5*(EnemyStatus!R27-1),
 "Stype",   40+GrowthType!$E$6*(EnemyStatus!R27-1))</f>
        <v>100</v>
      </c>
      <c r="N27" s="3" cm="1">
        <f t="array" ref="N27">_xlfn.SWITCH(O27,
 "Balance", 40+GrowthType!$F$2*(EnemyStatus!R27-1),
 "Atype",   40+GrowthType!$F$3*(EnemyStatus!R27-1),
 "Dtype",   40+GrowthType!$F$4*(EnemyStatus!R27-1),
 "Itype",   40+GrowthType!$F$5*(EnemyStatus!R27-1),
 "Stype",   40+GrowthType!$F$6*(EnemyStatus!R27-1))</f>
        <v>64</v>
      </c>
      <c r="O27" s="3" t="s">
        <v>8</v>
      </c>
      <c r="P27" s="3" t="s">
        <v>150</v>
      </c>
      <c r="Q27" s="3">
        <v>-1</v>
      </c>
      <c r="R27" s="3">
        <v>15</v>
      </c>
      <c r="S27" s="3">
        <f t="shared" si="1"/>
        <v>34</v>
      </c>
    </row>
    <row r="28" spans="1:19" x14ac:dyDescent="0.55000000000000004">
      <c r="A28" s="3">
        <v>6017</v>
      </c>
      <c r="B28" s="3" t="s">
        <v>112</v>
      </c>
      <c r="C28" s="4" t="s">
        <v>40</v>
      </c>
      <c r="D28" s="3" t="s">
        <v>55</v>
      </c>
      <c r="E28" s="4" t="s">
        <v>54</v>
      </c>
      <c r="F28" s="3" t="s">
        <v>61</v>
      </c>
      <c r="G28" s="4" t="s">
        <v>66</v>
      </c>
      <c r="H28" s="3" t="s">
        <v>73</v>
      </c>
      <c r="I28" s="4" t="s">
        <v>69</v>
      </c>
      <c r="J28" s="3" cm="1">
        <f t="array" ref="J28">_xlfn.SWITCH(O28,
"Balance",300+GrowthType!$B$2*(EnemyStatus!R28-1),
"Atype",300+GrowthType!$B$3*(EnemyStatus!R28-1),
"Dtype",300+GrowthType!$B$4*(EnemyStatus!R28-1),
"Itype",300+GrowthType!$B$5*(EnemyStatus!R28-1),
"Stype",300+GrowthType!$B$6*(EnemyStatus!R28-1))</f>
        <v>410</v>
      </c>
      <c r="K28" s="3" cm="1">
        <f t="array" ref="K28">_xlfn.SWITCH(O28,
 "Balance", 60+GrowthType!$C$2*(EnemyStatus!R28-1),
 "Atype",   60+GrowthType!$C$3*(EnemyStatus!R28-1),
 "Dtype",   60+GrowthType!$C$4*(EnemyStatus!R28-1),
 "Itype",   60+GrowthType!$C$5*(EnemyStatus!R28-1),
 "Stype",   60+GrowthType!$C$6*(EnemyStatus!R28-1))</f>
        <v>115</v>
      </c>
      <c r="L28" s="3" cm="1">
        <f t="array" ref="L28">_xlfn.SWITCH(O28,
 "Balance", 60+GrowthType!$D$2*(EnemyStatus!R28-1),
 "Atype",   60+GrowthType!$D$3*(EnemyStatus!R28-1),
 "Dtype",   60+GrowthType!$D$4*(EnemyStatus!R28-1),
 "Itype",   60+GrowthType!$D$5*(EnemyStatus!R28-1),
 "Stype",   60+GrowthType!$D$6*(EnemyStatus!R28-1))</f>
        <v>82</v>
      </c>
      <c r="M28" s="3" cm="1">
        <f t="array" ref="M28">_xlfn.SWITCH(O28,
 "Balance", 40+GrowthType!$E$2*(EnemyStatus!R28-1),
 "Atype",   40+GrowthType!$E$3*(EnemyStatus!R28-1),
 "Dtype",   40+GrowthType!$E$4*(EnemyStatus!R28-1),
 "Itype",   40+GrowthType!$E$5*(EnemyStatus!R28-1),
 "Stype",   40+GrowthType!$E$6*(EnemyStatus!R28-1))</f>
        <v>51</v>
      </c>
      <c r="N28" s="3" cm="1">
        <f t="array" ref="N28">_xlfn.SWITCH(O28,
 "Balance", 40+GrowthType!$F$2*(EnemyStatus!R28-1),
 "Atype",   40+GrowthType!$F$3*(EnemyStatus!R28-1),
 "Dtype",   40+GrowthType!$F$4*(EnemyStatus!R28-1),
 "Itype",   40+GrowthType!$F$5*(EnemyStatus!R28-1),
 "Stype",   40+GrowthType!$F$6*(EnemyStatus!R28-1))</f>
        <v>62</v>
      </c>
      <c r="O28" s="3" t="s">
        <v>6</v>
      </c>
      <c r="P28" s="3" t="s">
        <v>148</v>
      </c>
      <c r="Q28" s="3">
        <v>-1</v>
      </c>
      <c r="R28" s="3">
        <v>17</v>
      </c>
      <c r="S28" s="3">
        <f t="shared" si="1"/>
        <v>36</v>
      </c>
    </row>
    <row r="29" spans="1:19" x14ac:dyDescent="0.55000000000000004">
      <c r="A29" s="3">
        <v>6018</v>
      </c>
      <c r="B29" s="3" t="s">
        <v>107</v>
      </c>
      <c r="C29" s="4" t="s">
        <v>36</v>
      </c>
      <c r="D29" s="3" t="s">
        <v>55</v>
      </c>
      <c r="E29" s="4" t="s">
        <v>54</v>
      </c>
      <c r="F29" s="3" t="s">
        <v>59</v>
      </c>
      <c r="G29" s="4" t="s">
        <v>64</v>
      </c>
      <c r="H29" s="3" t="s">
        <v>75</v>
      </c>
      <c r="I29" s="4" t="s">
        <v>71</v>
      </c>
      <c r="J29" s="3" cm="1">
        <f t="array" ref="J29">_xlfn.SWITCH(O29,
"Balance",300+GrowthType!$B$2*(EnemyStatus!R29-1),
"Atype",300+GrowthType!$B$3*(EnemyStatus!R29-1),
"Dtype",300+GrowthType!$B$4*(EnemyStatus!R29-1),
"Itype",300+GrowthType!$B$5*(EnemyStatus!R29-1),
"Stype",300+GrowthType!$B$6*(EnemyStatus!R29-1))</f>
        <v>410</v>
      </c>
      <c r="K29" s="3" cm="1">
        <f t="array" ref="K29">_xlfn.SWITCH(O29,
 "Balance", 60+GrowthType!$C$2*(EnemyStatus!R29-1),
 "Atype",   60+GrowthType!$C$3*(EnemyStatus!R29-1),
 "Dtype",   60+GrowthType!$C$4*(EnemyStatus!R29-1),
 "Itype",   60+GrowthType!$C$5*(EnemyStatus!R29-1),
 "Stype",   60+GrowthType!$C$6*(EnemyStatus!R29-1))</f>
        <v>71</v>
      </c>
      <c r="L29" s="3" cm="1">
        <f t="array" ref="L29">_xlfn.SWITCH(O29,
 "Balance", 60+GrowthType!$D$2*(EnemyStatus!R29-1),
 "Atype",   60+GrowthType!$D$3*(EnemyStatus!R29-1),
 "Dtype",   60+GrowthType!$D$4*(EnemyStatus!R29-1),
 "Itype",   60+GrowthType!$D$5*(EnemyStatus!R29-1),
 "Stype",   60+GrowthType!$D$6*(EnemyStatus!R29-1))</f>
        <v>82</v>
      </c>
      <c r="M29" s="3" cm="1">
        <f t="array" ref="M29">_xlfn.SWITCH(O29,
 "Balance", 40+GrowthType!$E$2*(EnemyStatus!R29-1),
 "Atype",   40+GrowthType!$E$3*(EnemyStatus!R29-1),
 "Dtype",   40+GrowthType!$E$4*(EnemyStatus!R29-1),
 "Itype",   40+GrowthType!$E$5*(EnemyStatus!R29-1),
 "Stype",   40+GrowthType!$E$6*(EnemyStatus!R29-1))</f>
        <v>95</v>
      </c>
      <c r="N29" s="3" cm="1">
        <f t="array" ref="N29">_xlfn.SWITCH(O29,
 "Balance", 40+GrowthType!$F$2*(EnemyStatus!R29-1),
 "Atype",   40+GrowthType!$F$3*(EnemyStatus!R29-1),
 "Dtype",   40+GrowthType!$F$4*(EnemyStatus!R29-1),
 "Itype",   40+GrowthType!$F$5*(EnemyStatus!R29-1),
 "Stype",   40+GrowthType!$F$6*(EnemyStatus!R29-1))</f>
        <v>62</v>
      </c>
      <c r="O29" s="3" t="s">
        <v>8</v>
      </c>
      <c r="P29" s="3" t="s">
        <v>150</v>
      </c>
      <c r="Q29" s="3">
        <v>-1</v>
      </c>
      <c r="R29" s="3">
        <v>18</v>
      </c>
      <c r="S29" s="3">
        <f t="shared" si="1"/>
        <v>37</v>
      </c>
    </row>
    <row r="30" spans="1:19" x14ac:dyDescent="0.55000000000000004">
      <c r="A30" s="3">
        <v>6019</v>
      </c>
      <c r="B30" s="3" t="s">
        <v>115</v>
      </c>
      <c r="C30" s="4" t="s">
        <v>53</v>
      </c>
      <c r="D30" s="3" t="s">
        <v>55</v>
      </c>
      <c r="E30" s="4" t="s">
        <v>54</v>
      </c>
      <c r="F30" s="3" t="s">
        <v>58</v>
      </c>
      <c r="G30" s="4" t="s">
        <v>63</v>
      </c>
      <c r="H30" s="3" t="s">
        <v>75</v>
      </c>
      <c r="I30" s="4" t="s">
        <v>71</v>
      </c>
      <c r="J30" s="3" cm="1">
        <f t="array" ref="J30">_xlfn.SWITCH(O30,
"Balance",300+GrowthType!$B$2*(EnemyStatus!R30-1),
"Atype",300+GrowthType!$B$3*(EnemyStatus!R30-1),
"Dtype",300+GrowthType!$B$4*(EnemyStatus!R30-1),
"Itype",300+GrowthType!$B$5*(EnemyStatus!R30-1),
"Stype",300+GrowthType!$B$6*(EnemyStatus!R30-1))</f>
        <v>690</v>
      </c>
      <c r="K30" s="3" cm="1">
        <f t="array" ref="K30">_xlfn.SWITCH(O30,
 "Balance", 60+GrowthType!$C$2*(EnemyStatus!R30-1),
 "Atype",   60+GrowthType!$C$3*(EnemyStatus!R30-1),
 "Dtype",   60+GrowthType!$C$4*(EnemyStatus!R30-1),
 "Itype",   60+GrowthType!$C$5*(EnemyStatus!R30-1),
 "Stype",   60+GrowthType!$C$6*(EnemyStatus!R30-1))</f>
        <v>99</v>
      </c>
      <c r="L30" s="3" cm="1">
        <f t="array" ref="L30">_xlfn.SWITCH(O30,
 "Balance", 60+GrowthType!$D$2*(EnemyStatus!R30-1),
 "Atype",   60+GrowthType!$D$3*(EnemyStatus!R30-1),
 "Dtype",   60+GrowthType!$D$4*(EnemyStatus!R30-1),
 "Itype",   60+GrowthType!$D$5*(EnemyStatus!R30-1),
 "Stype",   60+GrowthType!$D$6*(EnemyStatus!R30-1))</f>
        <v>138</v>
      </c>
      <c r="M30" s="3" cm="1">
        <f t="array" ref="M30">_xlfn.SWITCH(O30,
 "Balance", 40+GrowthType!$E$2*(EnemyStatus!R30-1),
 "Atype",   40+GrowthType!$E$3*(EnemyStatus!R30-1),
 "Dtype",   40+GrowthType!$E$4*(EnemyStatus!R30-1),
 "Itype",   40+GrowthType!$E$5*(EnemyStatus!R30-1),
 "Stype",   40+GrowthType!$E$6*(EnemyStatus!R30-1))</f>
        <v>235</v>
      </c>
      <c r="N30" s="3" cm="1">
        <f t="array" ref="N30">_xlfn.SWITCH(O30,
 "Balance", 40+GrowthType!$F$2*(EnemyStatus!R30-1),
 "Atype",   40+GrowthType!$F$3*(EnemyStatus!R30-1),
 "Dtype",   40+GrowthType!$F$4*(EnemyStatus!R30-1),
 "Itype",   40+GrowthType!$F$5*(EnemyStatus!R30-1),
 "Stype",   40+GrowthType!$F$6*(EnemyStatus!R30-1))</f>
        <v>118</v>
      </c>
      <c r="O30" s="3" t="s">
        <v>8</v>
      </c>
      <c r="P30" s="3" t="s">
        <v>150</v>
      </c>
      <c r="Q30" s="3">
        <v>-1</v>
      </c>
      <c r="R30" s="3">
        <v>30</v>
      </c>
      <c r="S30" s="3">
        <f>200+(R30-1)</f>
        <v>229</v>
      </c>
    </row>
    <row r="31" spans="1:19" x14ac:dyDescent="0.55000000000000004">
      <c r="A31" s="5">
        <v>7001</v>
      </c>
      <c r="B31" s="5" t="s">
        <v>153</v>
      </c>
      <c r="C31" s="6" t="s">
        <v>78</v>
      </c>
      <c r="D31" s="5" t="s">
        <v>92</v>
      </c>
      <c r="E31" s="6" t="s">
        <v>91</v>
      </c>
      <c r="F31" s="5" t="s">
        <v>58</v>
      </c>
      <c r="G31" s="6" t="s">
        <v>63</v>
      </c>
      <c r="H31" s="5" t="s">
        <v>73</v>
      </c>
      <c r="I31" s="6" t="s">
        <v>69</v>
      </c>
      <c r="J31" s="5" cm="1">
        <f t="array" ref="J31">_xlfn.SWITCH(O31,
"Balance",150+GrowthType!$B$2*(EnemyStatus!R31-1),
"Atype",150+GrowthType!$B$3*(EnemyStatus!R31-1),
"Dtype",150+GrowthType!$B$4*(EnemyStatus!R31-1),
"Itype",150+GrowthType!$B$5*(EnemyStatus!R31-1),
"Stype",150+GrowthType!$B$6*(EnemyStatus!R31-1))</f>
        <v>390</v>
      </c>
      <c r="K31" s="5" cm="1">
        <f t="array" ref="K31">_xlfn.SWITCH(O31,
 "Balance", 30+GrowthType!$C$2*(EnemyStatus!R31-1),
 "Atype",   30+GrowthType!$C$3*(EnemyStatus!R31-1),
 "Dtype",   30+GrowthType!$C$4*(EnemyStatus!R31-1),
 "Itype",   30+GrowthType!$C$5*(EnemyStatus!R31-1),
 "Stype",   30+GrowthType!$C$6*(EnemyStatus!R31-1))</f>
        <v>78</v>
      </c>
      <c r="L31" s="5" cm="1">
        <f t="array" ref="L31">_xlfn.SWITCH(O31,
 "Balance", 30+GrowthType!$D$2*(EnemyStatus!R31-1),
 "Atype",   30+GrowthType!$D$3*(EnemyStatus!R31-1),
 "Dtype",   30+GrowthType!$D$4*(EnemyStatus!R31-1),
 "Itype",   30+GrowthType!$D$5*(EnemyStatus!R31-1),
 "Stype",   30+GrowthType!$D$6*(EnemyStatus!R31-1))</f>
        <v>78</v>
      </c>
      <c r="M31" s="5" cm="1">
        <f t="array" ref="M31">_xlfn.SWITCH(O31,
 "Balance", 20+GrowthType!$E$2*(EnemyStatus!R31-1),
 "Atype",   20+GrowthType!$E$3*(EnemyStatus!R31-1),
 "Dtype",   20+GrowthType!$E$4*(EnemyStatus!R31-1),
 "Itype",   20+GrowthType!$E$5*(EnemyStatus!R31-1),
 "Stype",   20+GrowthType!$E$6*(EnemyStatus!R31-1))</f>
        <v>52</v>
      </c>
      <c r="N31" s="5" cm="1">
        <f t="array" ref="N31">_xlfn.SWITCH(O31,
 "Balance", 20+GrowthType!$F$2*(EnemyStatus!R31-1),
 "Atype",   20+GrowthType!$F$3*(EnemyStatus!R31-1),
 "Dtype",   20+GrowthType!$F$4*(EnemyStatus!R31-1),
 "Itype",   20+GrowthType!$F$5*(EnemyStatus!R31-1),
 "Stype",   20+GrowthType!$F$6*(EnemyStatus!R31-1))</f>
        <v>52</v>
      </c>
      <c r="O31" s="5" t="s">
        <v>10</v>
      </c>
      <c r="P31" s="5" t="s">
        <v>147</v>
      </c>
      <c r="Q31" s="5">
        <v>-1</v>
      </c>
      <c r="R31" s="5">
        <v>24</v>
      </c>
      <c r="S31" s="5">
        <f>50+(R31-1)</f>
        <v>73</v>
      </c>
    </row>
    <row r="32" spans="1:19" x14ac:dyDescent="0.55000000000000004">
      <c r="A32" s="5">
        <v>7002</v>
      </c>
      <c r="B32" s="5" t="s">
        <v>128</v>
      </c>
      <c r="C32" s="6" t="s">
        <v>79</v>
      </c>
      <c r="D32" s="5" t="s">
        <v>92</v>
      </c>
      <c r="E32" s="6" t="s">
        <v>91</v>
      </c>
      <c r="F32" s="5" t="s">
        <v>58</v>
      </c>
      <c r="G32" s="6" t="s">
        <v>63</v>
      </c>
      <c r="H32" s="5" t="s">
        <v>76</v>
      </c>
      <c r="I32" s="6" t="s">
        <v>72</v>
      </c>
      <c r="J32" s="5" cm="1">
        <f t="array" ref="J32">_xlfn.SWITCH(O32,
"Balance",150+GrowthType!$B$2*(EnemyStatus!R32-1),
"Atype",150+GrowthType!$B$3*(EnemyStatus!R32-1),
"Dtype",150+GrowthType!$B$4*(EnemyStatus!R32-1),
"Itype",150+GrowthType!$B$5*(EnemyStatus!R32-1),
"Stype",150+GrowthType!$B$6*(EnemyStatus!R32-1))</f>
        <v>375</v>
      </c>
      <c r="K32" s="5" cm="1">
        <f t="array" ref="K32">_xlfn.SWITCH(O32,
 "Balance", 30+GrowthType!$C$2*(EnemyStatus!R32-1),
 "Atype",   30+GrowthType!$C$3*(EnemyStatus!R32-1),
 "Dtype",   30+GrowthType!$C$4*(EnemyStatus!R32-1),
 "Itype",   30+GrowthType!$C$5*(EnemyStatus!R32-1),
 "Stype",   30+GrowthType!$C$6*(EnemyStatus!R32-1))</f>
        <v>75</v>
      </c>
      <c r="L32" s="5" cm="1">
        <f t="array" ref="L32">_xlfn.SWITCH(O32,
 "Balance", 30+GrowthType!$D$2*(EnemyStatus!R32-1),
 "Atype",   30+GrowthType!$D$3*(EnemyStatus!R32-1),
 "Dtype",   30+GrowthType!$D$4*(EnemyStatus!R32-1),
 "Itype",   30+GrowthType!$D$5*(EnemyStatus!R32-1),
 "Stype",   30+GrowthType!$D$6*(EnemyStatus!R32-1))</f>
        <v>75</v>
      </c>
      <c r="M32" s="5" cm="1">
        <f t="array" ref="M32">_xlfn.SWITCH(O32,
 "Balance", 20+GrowthType!$E$2*(EnemyStatus!R32-1),
 "Atype",   20+GrowthType!$E$3*(EnemyStatus!R32-1),
 "Dtype",   20+GrowthType!$E$4*(EnemyStatus!R32-1),
 "Itype",   20+GrowthType!$E$5*(EnemyStatus!R32-1),
 "Stype",   20+GrowthType!$E$6*(EnemyStatus!R32-1))</f>
        <v>50</v>
      </c>
      <c r="N32" s="5" cm="1">
        <f t="array" ref="N32">_xlfn.SWITCH(O32,
 "Balance", 20+GrowthType!$F$2*(EnemyStatus!R32-1),
 "Atype",   20+GrowthType!$F$3*(EnemyStatus!R32-1),
 "Dtype",   20+GrowthType!$F$4*(EnemyStatus!R32-1),
 "Itype",   20+GrowthType!$F$5*(EnemyStatus!R32-1),
 "Stype",   20+GrowthType!$F$6*(EnemyStatus!R32-1))</f>
        <v>50</v>
      </c>
      <c r="O32" s="5" t="s">
        <v>10</v>
      </c>
      <c r="P32" s="5" t="s">
        <v>147</v>
      </c>
      <c r="Q32" s="5">
        <v>-1</v>
      </c>
      <c r="R32" s="5">
        <v>23</v>
      </c>
      <c r="S32" s="5">
        <f t="shared" ref="S32:S47" si="2">50+(R32-1)</f>
        <v>72</v>
      </c>
    </row>
    <row r="33" spans="1:19" x14ac:dyDescent="0.55000000000000004">
      <c r="A33" s="5">
        <v>7003</v>
      </c>
      <c r="B33" s="5" t="s">
        <v>154</v>
      </c>
      <c r="C33" s="6" t="s">
        <v>80</v>
      </c>
      <c r="D33" s="5" t="s">
        <v>92</v>
      </c>
      <c r="E33" s="6" t="s">
        <v>91</v>
      </c>
      <c r="F33" s="5" t="s">
        <v>58</v>
      </c>
      <c r="G33" s="6" t="s">
        <v>63</v>
      </c>
      <c r="H33" s="5" t="s">
        <v>75</v>
      </c>
      <c r="I33" s="6" t="s">
        <v>71</v>
      </c>
      <c r="J33" s="5" cm="1">
        <f t="array" ref="J33">_xlfn.SWITCH(O33,
"Balance",150+GrowthType!$B$2*(EnemyStatus!R33-1),
"Atype",150+GrowthType!$B$3*(EnemyStatus!R33-1),
"Dtype",150+GrowthType!$B$4*(EnemyStatus!R33-1),
"Itype",150+GrowthType!$B$5*(EnemyStatus!R33-1),
"Stype",150+GrowthType!$B$6*(EnemyStatus!R33-1))</f>
        <v>405</v>
      </c>
      <c r="K33" s="5" cm="1">
        <f t="array" ref="K33">_xlfn.SWITCH(O33,
 "Balance", 30+GrowthType!$C$2*(EnemyStatus!R33-1),
 "Atype",   30+GrowthType!$C$3*(EnemyStatus!R33-1),
 "Dtype",   30+GrowthType!$C$4*(EnemyStatus!R33-1),
 "Itype",   30+GrowthType!$C$5*(EnemyStatus!R33-1),
 "Stype",   30+GrowthType!$C$6*(EnemyStatus!R33-1))</f>
        <v>81</v>
      </c>
      <c r="L33" s="5" cm="1">
        <f t="array" ref="L33">_xlfn.SWITCH(O33,
 "Balance", 30+GrowthType!$D$2*(EnemyStatus!R33-1),
 "Atype",   30+GrowthType!$D$3*(EnemyStatus!R33-1),
 "Dtype",   30+GrowthType!$D$4*(EnemyStatus!R33-1),
 "Itype",   30+GrowthType!$D$5*(EnemyStatus!R33-1),
 "Stype",   30+GrowthType!$D$6*(EnemyStatus!R33-1))</f>
        <v>81</v>
      </c>
      <c r="M33" s="5" cm="1">
        <f t="array" ref="M33">_xlfn.SWITCH(O33,
 "Balance", 20+GrowthType!$E$2*(EnemyStatus!R33-1),
 "Atype",   20+GrowthType!$E$3*(EnemyStatus!R33-1),
 "Dtype",   20+GrowthType!$E$4*(EnemyStatus!R33-1),
 "Itype",   20+GrowthType!$E$5*(EnemyStatus!R33-1),
 "Stype",   20+GrowthType!$E$6*(EnemyStatus!R33-1))</f>
        <v>54</v>
      </c>
      <c r="N33" s="5" cm="1">
        <f t="array" ref="N33">_xlfn.SWITCH(O33,
 "Balance", 20+GrowthType!$F$2*(EnemyStatus!R33-1),
 "Atype",   20+GrowthType!$F$3*(EnemyStatus!R33-1),
 "Dtype",   20+GrowthType!$F$4*(EnemyStatus!R33-1),
 "Itype",   20+GrowthType!$F$5*(EnemyStatus!R33-1),
 "Stype",   20+GrowthType!$F$6*(EnemyStatus!R33-1))</f>
        <v>54</v>
      </c>
      <c r="O33" s="5" t="s">
        <v>10</v>
      </c>
      <c r="P33" s="5" t="s">
        <v>147</v>
      </c>
      <c r="Q33" s="5">
        <v>-1</v>
      </c>
      <c r="R33" s="5">
        <v>27</v>
      </c>
      <c r="S33" s="5">
        <f t="shared" si="2"/>
        <v>76</v>
      </c>
    </row>
    <row r="34" spans="1:19" x14ac:dyDescent="0.55000000000000004">
      <c r="A34" s="5">
        <v>7004</v>
      </c>
      <c r="B34" s="5" t="s">
        <v>163</v>
      </c>
      <c r="C34" s="6" t="s">
        <v>93</v>
      </c>
      <c r="D34" s="5" t="s">
        <v>92</v>
      </c>
      <c r="E34" s="6" t="s">
        <v>91</v>
      </c>
      <c r="F34" s="5" t="s">
        <v>58</v>
      </c>
      <c r="G34" s="6" t="s">
        <v>63</v>
      </c>
      <c r="H34" s="5" t="s">
        <v>75</v>
      </c>
      <c r="I34" s="6" t="s">
        <v>71</v>
      </c>
      <c r="J34" s="5" cm="1">
        <f t="array" ref="J34">_xlfn.SWITCH(O34,
"Balance",150+GrowthType!$B$2*(EnemyStatus!R34-1),
"Atype",150+GrowthType!$B$3*(EnemyStatus!R34-1),
"Dtype",150+GrowthType!$B$4*(EnemyStatus!R34-1),
"Itype",150+GrowthType!$B$5*(EnemyStatus!R34-1),
"Stype",150+GrowthType!$B$6*(EnemyStatus!R34-1))</f>
        <v>360</v>
      </c>
      <c r="K34" s="5" cm="1">
        <f t="array" ref="K34">_xlfn.SWITCH(O34,
 "Balance", 30+GrowthType!$C$2*(EnemyStatus!R34-1),
 "Atype",   30+GrowthType!$C$3*(EnemyStatus!R34-1),
 "Dtype",   30+GrowthType!$C$4*(EnemyStatus!R34-1),
 "Itype",   30+GrowthType!$C$5*(EnemyStatus!R34-1),
 "Stype",   30+GrowthType!$C$6*(EnemyStatus!R34-1))</f>
        <v>72</v>
      </c>
      <c r="L34" s="5" cm="1">
        <f t="array" ref="L34">_xlfn.SWITCH(O34,
 "Balance", 30+GrowthType!$D$2*(EnemyStatus!R34-1),
 "Atype",   30+GrowthType!$D$3*(EnemyStatus!R34-1),
 "Dtype",   30+GrowthType!$D$4*(EnemyStatus!R34-1),
 "Itype",   30+GrowthType!$D$5*(EnemyStatus!R34-1),
 "Stype",   30+GrowthType!$D$6*(EnemyStatus!R34-1))</f>
        <v>72</v>
      </c>
      <c r="M34" s="5" cm="1">
        <f t="array" ref="M34">_xlfn.SWITCH(O34,
 "Balance", 20+GrowthType!$E$2*(EnemyStatus!R34-1),
 "Atype",   20+GrowthType!$E$3*(EnemyStatus!R34-1),
 "Dtype",   20+GrowthType!$E$4*(EnemyStatus!R34-1),
 "Itype",   20+GrowthType!$E$5*(EnemyStatus!R34-1),
 "Stype",   20+GrowthType!$E$6*(EnemyStatus!R34-1))</f>
        <v>48</v>
      </c>
      <c r="N34" s="5" cm="1">
        <f t="array" ref="N34">_xlfn.SWITCH(O34,
 "Balance", 20+GrowthType!$F$2*(EnemyStatus!R34-1),
 "Atype",   20+GrowthType!$F$3*(EnemyStatus!R34-1),
 "Dtype",   20+GrowthType!$F$4*(EnemyStatus!R34-1),
 "Itype",   20+GrowthType!$F$5*(EnemyStatus!R34-1),
 "Stype",   20+GrowthType!$F$6*(EnemyStatus!R34-1))</f>
        <v>48</v>
      </c>
      <c r="O34" s="5" t="s">
        <v>10</v>
      </c>
      <c r="P34" s="5" t="s">
        <v>147</v>
      </c>
      <c r="Q34" s="5">
        <v>-1</v>
      </c>
      <c r="R34" s="5">
        <v>21</v>
      </c>
      <c r="S34" s="5">
        <f t="shared" si="2"/>
        <v>70</v>
      </c>
    </row>
    <row r="35" spans="1:19" x14ac:dyDescent="0.55000000000000004">
      <c r="A35" s="5">
        <v>7005</v>
      </c>
      <c r="B35" s="5">
        <v>1</v>
      </c>
      <c r="C35" s="6" t="s">
        <v>140</v>
      </c>
      <c r="D35" s="5" t="s">
        <v>92</v>
      </c>
      <c r="E35" s="6" t="s">
        <v>91</v>
      </c>
      <c r="F35" s="5" t="s">
        <v>58</v>
      </c>
      <c r="G35" s="6" t="s">
        <v>63</v>
      </c>
      <c r="H35" s="5" t="s">
        <v>76</v>
      </c>
      <c r="I35" s="6" t="s">
        <v>72</v>
      </c>
      <c r="J35" s="5" t="e" cm="1">
        <f t="array" ref="J35">_xlfn.SWITCH(O35,
"Balance",150+GrowthType!$B$2*(EnemyStatus!#REF!-1),
"Atype",150+GrowthType!$B$3*(EnemyStatus!#REF!-1),
"Dtype",150+GrowthType!$B$4*(EnemyStatus!#REF!-1),
"Itype",150+GrowthType!$B$5*(EnemyStatus!#REF!-1),
"Stype",150+GrowthType!$B$6*(EnemyStatus!#REF!-1))</f>
        <v>#REF!</v>
      </c>
      <c r="K35" s="5" t="e" cm="1">
        <f t="array" ref="K35">_xlfn.SWITCH(O35,
 "Balance", 30+GrowthType!$C$2*(EnemyStatus!#REF!-1),
 "Atype",   30+GrowthType!$C$3*(EnemyStatus!#REF!-1),
 "Dtype",   30+GrowthType!$C$4*(EnemyStatus!#REF!-1),
 "Itype",   30+GrowthType!$C$5*(EnemyStatus!#REF!-1),
 "Stype",   30+GrowthType!$C$6*(EnemyStatus!#REF!-1))</f>
        <v>#REF!</v>
      </c>
      <c r="L35" s="5" t="e" cm="1">
        <f t="array" ref="L35">_xlfn.SWITCH(O35,
 "Balance", 30+GrowthType!$D$2*(EnemyStatus!#REF!-1),
 "Atype",   30+GrowthType!$D$3*(EnemyStatus!#REF!-1),
 "Dtype",   30+GrowthType!$D$4*(EnemyStatus!#REF!-1),
 "Itype",   30+GrowthType!$D$5*(EnemyStatus!#REF!-1),
 "Stype",   30+GrowthType!$D$6*(EnemyStatus!#REF!-1))</f>
        <v>#REF!</v>
      </c>
      <c r="M35" s="5" t="e" cm="1">
        <f t="array" ref="M35">_xlfn.SWITCH(O35,
 "Balance", 20+GrowthType!$E$2*(EnemyStatus!#REF!-1),
 "Atype",   20+GrowthType!$E$3*(EnemyStatus!#REF!-1),
 "Dtype",   20+GrowthType!$E$4*(EnemyStatus!#REF!-1),
 "Itype",   20+GrowthType!$E$5*(EnemyStatus!#REF!-1),
 "Stype",   20+GrowthType!$E$6*(EnemyStatus!#REF!-1))</f>
        <v>#REF!</v>
      </c>
      <c r="N35" s="5" t="e" cm="1">
        <f t="array" ref="N35">_xlfn.SWITCH(O35,
 "Balance", 20+GrowthType!$F$2*(EnemyStatus!#REF!-1),
 "Atype",   20+GrowthType!$F$3*(EnemyStatus!#REF!-1),
 "Dtype",   20+GrowthType!$F$4*(EnemyStatus!#REF!-1),
 "Itype",   20+GrowthType!$F$5*(EnemyStatus!#REF!-1),
 "Stype",   20+GrowthType!$F$6*(EnemyStatus!#REF!-1))</f>
        <v>#REF!</v>
      </c>
      <c r="O35" s="5" t="s">
        <v>10</v>
      </c>
      <c r="P35" s="5" t="s">
        <v>147</v>
      </c>
      <c r="Q35" s="5">
        <v>-1</v>
      </c>
      <c r="R35" s="5">
        <v>22</v>
      </c>
      <c r="S35" s="5">
        <f t="shared" si="2"/>
        <v>71</v>
      </c>
    </row>
    <row r="36" spans="1:19" x14ac:dyDescent="0.55000000000000004">
      <c r="A36" s="5">
        <v>7006</v>
      </c>
      <c r="B36" s="5">
        <v>1</v>
      </c>
      <c r="C36" s="6" t="s">
        <v>141</v>
      </c>
      <c r="D36" s="5" t="s">
        <v>92</v>
      </c>
      <c r="E36" s="6" t="s">
        <v>91</v>
      </c>
      <c r="F36" s="5" t="s">
        <v>58</v>
      </c>
      <c r="G36" s="6" t="s">
        <v>63</v>
      </c>
      <c r="H36" s="5" t="s">
        <v>74</v>
      </c>
      <c r="I36" s="6" t="s">
        <v>70</v>
      </c>
      <c r="J36" s="5" t="e" cm="1">
        <f t="array" ref="J36">_xlfn.SWITCH(O36,
"Balance",150+GrowthType!$B$2*(EnemyStatus!#REF!-1),
"Atype",150+GrowthType!$B$3*(EnemyStatus!#REF!-1),
"Dtype",150+GrowthType!$B$4*(EnemyStatus!#REF!-1),
"Itype",150+GrowthType!$B$5*(EnemyStatus!#REF!-1),
"Stype",150+GrowthType!$B$6*(EnemyStatus!#REF!-1))</f>
        <v>#REF!</v>
      </c>
      <c r="K36" s="5" t="e" cm="1">
        <f t="array" ref="K36">_xlfn.SWITCH(O36,
 "Balance", 30+GrowthType!$C$2*(EnemyStatus!#REF!-1),
 "Atype",   30+GrowthType!$C$3*(EnemyStatus!#REF!-1),
 "Dtype",   30+GrowthType!$C$4*(EnemyStatus!#REF!-1),
 "Itype",   30+GrowthType!$C$5*(EnemyStatus!#REF!-1),
 "Stype",   30+GrowthType!$C$6*(EnemyStatus!#REF!-1))</f>
        <v>#REF!</v>
      </c>
      <c r="L36" s="5" t="e" cm="1">
        <f t="array" ref="L36">_xlfn.SWITCH(O36,
 "Balance", 30+GrowthType!$D$2*(EnemyStatus!#REF!-1),
 "Atype",   30+GrowthType!$D$3*(EnemyStatus!#REF!-1),
 "Dtype",   30+GrowthType!$D$4*(EnemyStatus!#REF!-1),
 "Itype",   30+GrowthType!$D$5*(EnemyStatus!#REF!-1),
 "Stype",   30+GrowthType!$D$6*(EnemyStatus!#REF!-1))</f>
        <v>#REF!</v>
      </c>
      <c r="M36" s="5" t="e" cm="1">
        <f t="array" ref="M36">_xlfn.SWITCH(O36,
 "Balance", 20+GrowthType!$E$2*(EnemyStatus!#REF!-1),
 "Atype",   20+GrowthType!$E$3*(EnemyStatus!#REF!-1),
 "Dtype",   20+GrowthType!$E$4*(EnemyStatus!#REF!-1),
 "Itype",   20+GrowthType!$E$5*(EnemyStatus!#REF!-1),
 "Stype",   20+GrowthType!$E$6*(EnemyStatus!#REF!-1))</f>
        <v>#REF!</v>
      </c>
      <c r="N36" s="5" t="e" cm="1">
        <f t="array" ref="N36">_xlfn.SWITCH(O36,
 "Balance", 20+GrowthType!$F$2*(EnemyStatus!#REF!-1),
 "Atype",   20+GrowthType!$F$3*(EnemyStatus!#REF!-1),
 "Dtype",   20+GrowthType!$F$4*(EnemyStatus!#REF!-1),
 "Itype",   20+GrowthType!$F$5*(EnemyStatus!#REF!-1),
 "Stype",   20+GrowthType!$F$6*(EnemyStatus!#REF!-1))</f>
        <v>#REF!</v>
      </c>
      <c r="O36" s="5" t="s">
        <v>10</v>
      </c>
      <c r="P36" s="5" t="s">
        <v>147</v>
      </c>
      <c r="Q36" s="5">
        <v>-1</v>
      </c>
      <c r="R36" s="5">
        <v>22</v>
      </c>
      <c r="S36" s="5">
        <f t="shared" si="2"/>
        <v>71</v>
      </c>
    </row>
    <row r="37" spans="1:19" x14ac:dyDescent="0.55000000000000004">
      <c r="A37" s="5">
        <v>7007</v>
      </c>
      <c r="B37" s="5" t="s">
        <v>143</v>
      </c>
      <c r="C37" s="6" t="s">
        <v>89</v>
      </c>
      <c r="D37" s="5" t="s">
        <v>92</v>
      </c>
      <c r="E37" s="6" t="s">
        <v>91</v>
      </c>
      <c r="F37" s="5" t="s">
        <v>59</v>
      </c>
      <c r="G37" s="6" t="s">
        <v>64</v>
      </c>
      <c r="H37" s="5" t="s">
        <v>74</v>
      </c>
      <c r="I37" s="6" t="s">
        <v>70</v>
      </c>
      <c r="J37" s="5" cm="1">
        <f t="array" ref="J37">_xlfn.SWITCH(O37,
"Balance",150+GrowthType!$B$2*(EnemyStatus!R35-1),
"Atype",150+GrowthType!$B$3*(EnemyStatus!R35-1),
"Dtype",150+GrowthType!$B$4*(EnemyStatus!R35-1),
"Itype",150+GrowthType!$B$5*(EnemyStatus!R35-1),
"Stype",150+GrowthType!$B$6*(EnemyStatus!R35-1))</f>
        <v>360</v>
      </c>
      <c r="K37" s="5" cm="1">
        <f t="array" ref="K37">_xlfn.SWITCH(O37,
 "Balance", 30+GrowthType!$C$2*(EnemyStatus!R35-1),
 "Atype",   30+GrowthType!$C$3*(EnemyStatus!R35-1),
 "Dtype",   30+GrowthType!$C$4*(EnemyStatus!R35-1),
 "Itype",   30+GrowthType!$C$5*(EnemyStatus!R35-1),
 "Stype",   30+GrowthType!$C$6*(EnemyStatus!R35-1))</f>
        <v>72</v>
      </c>
      <c r="L37" s="5" cm="1">
        <f t="array" ref="L37">_xlfn.SWITCH(O37,
 "Balance", 30+GrowthType!$D$2*(EnemyStatus!R35-1),
 "Atype",   30+GrowthType!$D$3*(EnemyStatus!R35-1),
 "Dtype",   30+GrowthType!$D$4*(EnemyStatus!R35-1),
 "Itype",   30+GrowthType!$D$5*(EnemyStatus!R35-1),
 "Stype",   30+GrowthType!$D$6*(EnemyStatus!R35-1))</f>
        <v>72</v>
      </c>
      <c r="M37" s="5" cm="1">
        <f t="array" ref="M37">_xlfn.SWITCH(O37,
 "Balance", 20+GrowthType!$E$2*(EnemyStatus!R35-1),
 "Atype",   20+GrowthType!$E$3*(EnemyStatus!R35-1),
 "Dtype",   20+GrowthType!$E$4*(EnemyStatus!R35-1),
 "Itype",   20+GrowthType!$E$5*(EnemyStatus!R35-1),
 "Stype",   20+GrowthType!$E$6*(EnemyStatus!R35-1))</f>
        <v>48</v>
      </c>
      <c r="N37" s="5" cm="1">
        <f t="array" ref="N37">_xlfn.SWITCH(O37,
 "Balance", 20+GrowthType!$F$2*(EnemyStatus!R35-1),
 "Atype",   20+GrowthType!$F$3*(EnemyStatus!R35-1),
 "Dtype",   20+GrowthType!$F$4*(EnemyStatus!R35-1),
 "Itype",   20+GrowthType!$F$5*(EnemyStatus!R35-1),
 "Stype",   20+GrowthType!$F$6*(EnemyStatus!R35-1))</f>
        <v>48</v>
      </c>
      <c r="O37" s="5" t="s">
        <v>10</v>
      </c>
      <c r="P37" s="5" t="s">
        <v>147</v>
      </c>
      <c r="Q37" s="5">
        <v>-1</v>
      </c>
      <c r="R37" s="5">
        <v>22</v>
      </c>
      <c r="S37" s="5">
        <f t="shared" si="2"/>
        <v>71</v>
      </c>
    </row>
    <row r="38" spans="1:19" x14ac:dyDescent="0.55000000000000004">
      <c r="A38" s="5">
        <v>7008</v>
      </c>
      <c r="B38" s="5" t="s">
        <v>131</v>
      </c>
      <c r="C38" s="6" t="s">
        <v>85</v>
      </c>
      <c r="D38" s="5" t="s">
        <v>92</v>
      </c>
      <c r="E38" s="6" t="s">
        <v>91</v>
      </c>
      <c r="F38" s="5" t="s">
        <v>58</v>
      </c>
      <c r="G38" s="6" t="s">
        <v>63</v>
      </c>
      <c r="H38" s="5" t="s">
        <v>74</v>
      </c>
      <c r="I38" s="6" t="s">
        <v>70</v>
      </c>
      <c r="J38" s="5" cm="1">
        <f t="array" ref="J38">_xlfn.SWITCH(O38,
"Balance",150+GrowthType!$B$2*(EnemyStatus!R36-1),
"Atype",150+GrowthType!$B$3*(EnemyStatus!R36-1),
"Dtype",150+GrowthType!$B$4*(EnemyStatus!R36-1),
"Itype",150+GrowthType!$B$5*(EnemyStatus!R36-1),
"Stype",150+GrowthType!$B$6*(EnemyStatus!R36-1))</f>
        <v>375</v>
      </c>
      <c r="K38" s="5" cm="1">
        <f t="array" ref="K38">_xlfn.SWITCH(O38,
 "Balance", 30+GrowthType!$C$2*(EnemyStatus!R36-1),
 "Atype",   30+GrowthType!$C$3*(EnemyStatus!R36-1),
 "Dtype",   30+GrowthType!$C$4*(EnemyStatus!R36-1),
 "Itype",   30+GrowthType!$C$5*(EnemyStatus!R36-1),
 "Stype",   30+GrowthType!$C$6*(EnemyStatus!R36-1))</f>
        <v>75</v>
      </c>
      <c r="L38" s="5" cm="1">
        <f t="array" ref="L38">_xlfn.SWITCH(O38,
 "Balance", 30+GrowthType!$D$2*(EnemyStatus!R36-1),
 "Atype",   30+GrowthType!$D$3*(EnemyStatus!R36-1),
 "Dtype",   30+GrowthType!$D$4*(EnemyStatus!R36-1),
 "Itype",   30+GrowthType!$D$5*(EnemyStatus!R36-1),
 "Stype",   30+GrowthType!$D$6*(EnemyStatus!R36-1))</f>
        <v>75</v>
      </c>
      <c r="M38" s="5" cm="1">
        <f t="array" ref="M38">_xlfn.SWITCH(O38,
 "Balance", 20+GrowthType!$E$2*(EnemyStatus!R36-1),
 "Atype",   20+GrowthType!$E$3*(EnemyStatus!R36-1),
 "Dtype",   20+GrowthType!$E$4*(EnemyStatus!R36-1),
 "Itype",   20+GrowthType!$E$5*(EnemyStatus!R36-1),
 "Stype",   20+GrowthType!$E$6*(EnemyStatus!R36-1))</f>
        <v>50</v>
      </c>
      <c r="N38" s="5" cm="1">
        <f t="array" ref="N38">_xlfn.SWITCH(O38,
 "Balance", 20+GrowthType!$F$2*(EnemyStatus!R36-1),
 "Atype",   20+GrowthType!$F$3*(EnemyStatus!R36-1),
 "Dtype",   20+GrowthType!$F$4*(EnemyStatus!R36-1),
 "Itype",   20+GrowthType!$F$5*(EnemyStatus!R36-1),
 "Stype",   20+GrowthType!$F$6*(EnemyStatus!R36-1))</f>
        <v>50</v>
      </c>
      <c r="O38" s="5" t="s">
        <v>10</v>
      </c>
      <c r="P38" s="5" t="s">
        <v>147</v>
      </c>
      <c r="Q38" s="5">
        <v>-1</v>
      </c>
      <c r="R38" s="5">
        <v>23</v>
      </c>
      <c r="S38" s="5">
        <f t="shared" si="2"/>
        <v>72</v>
      </c>
    </row>
    <row r="39" spans="1:19" x14ac:dyDescent="0.55000000000000004">
      <c r="A39" s="5">
        <v>7009</v>
      </c>
      <c r="B39" s="5" t="s">
        <v>155</v>
      </c>
      <c r="C39" s="6" t="s">
        <v>86</v>
      </c>
      <c r="D39" s="5" t="s">
        <v>92</v>
      </c>
      <c r="E39" s="6" t="s">
        <v>91</v>
      </c>
      <c r="F39" s="5" t="s">
        <v>60</v>
      </c>
      <c r="G39" s="6" t="s">
        <v>65</v>
      </c>
      <c r="H39" s="5" t="s">
        <v>75</v>
      </c>
      <c r="I39" s="6" t="s">
        <v>71</v>
      </c>
      <c r="J39" s="5" cm="1">
        <f t="array" ref="J39">_xlfn.SWITCH(O39,
"Balance",150+GrowthType!$B$2*(EnemyStatus!R37-1),
"Atype",150+GrowthType!$B$3*(EnemyStatus!R37-1),
"Dtype",150+GrowthType!$B$4*(EnemyStatus!R37-1),
"Itype",150+GrowthType!$B$5*(EnemyStatus!R37-1),
"Stype",150+GrowthType!$B$6*(EnemyStatus!R37-1))</f>
        <v>435</v>
      </c>
      <c r="K39" s="5" cm="1">
        <f t="array" ref="K39">_xlfn.SWITCH(O39,
 "Balance", 30+GrowthType!$C$2*(EnemyStatus!R37-1),
 "Atype",   30+GrowthType!$C$3*(EnemyStatus!R37-1),
 "Dtype",   30+GrowthType!$C$4*(EnemyStatus!R37-1),
 "Itype",   30+GrowthType!$C$5*(EnemyStatus!R37-1),
 "Stype",   30+GrowthType!$C$6*(EnemyStatus!R37-1))</f>
        <v>87</v>
      </c>
      <c r="L39" s="5" cm="1">
        <f t="array" ref="L39">_xlfn.SWITCH(O39,
 "Balance", 30+GrowthType!$D$2*(EnemyStatus!R37-1),
 "Atype",   30+GrowthType!$D$3*(EnemyStatus!R37-1),
 "Dtype",   30+GrowthType!$D$4*(EnemyStatus!R37-1),
 "Itype",   30+GrowthType!$D$5*(EnemyStatus!R37-1),
 "Stype",   30+GrowthType!$D$6*(EnemyStatus!R37-1))</f>
        <v>87</v>
      </c>
      <c r="M39" s="5" cm="1">
        <f t="array" ref="M39">_xlfn.SWITCH(O39,
 "Balance", 20+GrowthType!$E$2*(EnemyStatus!R37-1),
 "Atype",   20+GrowthType!$E$3*(EnemyStatus!R37-1),
 "Dtype",   20+GrowthType!$E$4*(EnemyStatus!R37-1),
 "Itype",   20+GrowthType!$E$5*(EnemyStatus!R37-1),
 "Stype",   20+GrowthType!$E$6*(EnemyStatus!R37-1))</f>
        <v>58</v>
      </c>
      <c r="N39" s="5" cm="1">
        <f t="array" ref="N39">_xlfn.SWITCH(O39,
 "Balance", 20+GrowthType!$F$2*(EnemyStatus!R37-1),
 "Atype",   20+GrowthType!$F$3*(EnemyStatus!R37-1),
 "Dtype",   20+GrowthType!$F$4*(EnemyStatus!R37-1),
 "Itype",   20+GrowthType!$F$5*(EnemyStatus!R37-1),
 "Stype",   20+GrowthType!$F$6*(EnemyStatus!R37-1))</f>
        <v>58</v>
      </c>
      <c r="O39" s="5" t="s">
        <v>10</v>
      </c>
      <c r="P39" s="5" t="s">
        <v>147</v>
      </c>
      <c r="Q39" s="5">
        <v>-1</v>
      </c>
      <c r="R39" s="5">
        <v>26</v>
      </c>
      <c r="S39" s="5">
        <f t="shared" si="2"/>
        <v>75</v>
      </c>
    </row>
    <row r="40" spans="1:19" x14ac:dyDescent="0.55000000000000004">
      <c r="A40" s="5">
        <v>7010</v>
      </c>
      <c r="B40" s="5" t="s">
        <v>156</v>
      </c>
      <c r="C40" s="6" t="s">
        <v>87</v>
      </c>
      <c r="D40" s="5" t="s">
        <v>92</v>
      </c>
      <c r="E40" s="6" t="s">
        <v>91</v>
      </c>
      <c r="F40" s="5" t="s">
        <v>61</v>
      </c>
      <c r="G40" s="6" t="s">
        <v>66</v>
      </c>
      <c r="H40" s="5" t="s">
        <v>73</v>
      </c>
      <c r="I40" s="6" t="s">
        <v>69</v>
      </c>
      <c r="J40" s="5" cm="1">
        <f t="array" ref="J40">_xlfn.SWITCH(O40,
"Balance",150+GrowthType!$B$2*(EnemyStatus!R38-1),
"Atype",150+GrowthType!$B$3*(EnemyStatus!R38-1),
"Dtype",150+GrowthType!$B$4*(EnemyStatus!R38-1),
"Itype",150+GrowthType!$B$5*(EnemyStatus!R38-1),
"Stype",150+GrowthType!$B$6*(EnemyStatus!R38-1))</f>
        <v>450</v>
      </c>
      <c r="K40" s="5" cm="1">
        <f t="array" ref="K40">_xlfn.SWITCH(O40,
 "Balance", 30+GrowthType!$C$2*(EnemyStatus!R38-1),
 "Atype",   30+GrowthType!$C$3*(EnemyStatus!R38-1),
 "Dtype",   30+GrowthType!$C$4*(EnemyStatus!R38-1),
 "Itype",   30+GrowthType!$C$5*(EnemyStatus!R38-1),
 "Stype",   30+GrowthType!$C$6*(EnemyStatus!R38-1))</f>
        <v>90</v>
      </c>
      <c r="L40" s="5" cm="1">
        <f t="array" ref="L40">_xlfn.SWITCH(O40,
 "Balance", 30+GrowthType!$D$2*(EnemyStatus!R38-1),
 "Atype",   30+GrowthType!$D$3*(EnemyStatus!R38-1),
 "Dtype",   30+GrowthType!$D$4*(EnemyStatus!R38-1),
 "Itype",   30+GrowthType!$D$5*(EnemyStatus!R38-1),
 "Stype",   30+GrowthType!$D$6*(EnemyStatus!R38-1))</f>
        <v>90</v>
      </c>
      <c r="M40" s="5" cm="1">
        <f t="array" ref="M40">_xlfn.SWITCH(O40,
 "Balance", 20+GrowthType!$E$2*(EnemyStatus!R38-1),
 "Atype",   20+GrowthType!$E$3*(EnemyStatus!R38-1),
 "Dtype",   20+GrowthType!$E$4*(EnemyStatus!R38-1),
 "Itype",   20+GrowthType!$E$5*(EnemyStatus!R38-1),
 "Stype",   20+GrowthType!$E$6*(EnemyStatus!R38-1))</f>
        <v>60</v>
      </c>
      <c r="N40" s="5" cm="1">
        <f t="array" ref="N40">_xlfn.SWITCH(O40,
 "Balance", 20+GrowthType!$F$2*(EnemyStatus!R38-1),
 "Atype",   20+GrowthType!$F$3*(EnemyStatus!R38-1),
 "Dtype",   20+GrowthType!$F$4*(EnemyStatus!R38-1),
 "Itype",   20+GrowthType!$F$5*(EnemyStatus!R38-1),
 "Stype",   20+GrowthType!$F$6*(EnemyStatus!R38-1))</f>
        <v>60</v>
      </c>
      <c r="O40" s="5" t="s">
        <v>10</v>
      </c>
      <c r="P40" s="5" t="s">
        <v>147</v>
      </c>
      <c r="Q40" s="5">
        <v>-1</v>
      </c>
      <c r="R40" s="5">
        <v>25</v>
      </c>
      <c r="S40" s="5">
        <f t="shared" si="2"/>
        <v>74</v>
      </c>
    </row>
    <row r="41" spans="1:19" x14ac:dyDescent="0.55000000000000004">
      <c r="A41" s="5">
        <v>7011</v>
      </c>
      <c r="B41" s="5" t="s">
        <v>157</v>
      </c>
      <c r="C41" s="6" t="s">
        <v>81</v>
      </c>
      <c r="D41" s="5" t="s">
        <v>92</v>
      </c>
      <c r="E41" s="6" t="s">
        <v>91</v>
      </c>
      <c r="F41" s="5" t="s">
        <v>61</v>
      </c>
      <c r="G41" s="6" t="s">
        <v>66</v>
      </c>
      <c r="H41" s="5" t="s">
        <v>75</v>
      </c>
      <c r="I41" s="6" t="s">
        <v>71</v>
      </c>
      <c r="J41" s="5" cm="1">
        <f t="array" ref="J41">_xlfn.SWITCH(O41,
"Balance",150+GrowthType!$B$2*(EnemyStatus!R39-1),
"Atype",150+GrowthType!$B$3*(EnemyStatus!R39-1),
"Dtype",150+GrowthType!$B$4*(EnemyStatus!R39-1),
"Itype",150+GrowthType!$B$5*(EnemyStatus!R39-1),
"Stype",150+GrowthType!$B$6*(EnemyStatus!R39-1))</f>
        <v>465</v>
      </c>
      <c r="K41" s="5" cm="1">
        <f t="array" ref="K41">_xlfn.SWITCH(O41,
 "Balance", 30+GrowthType!$C$2*(EnemyStatus!R39-1),
 "Atype",   30+GrowthType!$C$3*(EnemyStatus!R39-1),
 "Dtype",   30+GrowthType!$C$4*(EnemyStatus!R39-1),
 "Itype",   30+GrowthType!$C$5*(EnemyStatus!R39-1),
 "Stype",   30+GrowthType!$C$6*(EnemyStatus!R39-1))</f>
        <v>93</v>
      </c>
      <c r="L41" s="5" cm="1">
        <f t="array" ref="L41">_xlfn.SWITCH(O41,
 "Balance", 30+GrowthType!$D$2*(EnemyStatus!R39-1),
 "Atype",   30+GrowthType!$D$3*(EnemyStatus!R39-1),
 "Dtype",   30+GrowthType!$D$4*(EnemyStatus!R39-1),
 "Itype",   30+GrowthType!$D$5*(EnemyStatus!R39-1),
 "Stype",   30+GrowthType!$D$6*(EnemyStatus!R39-1))</f>
        <v>93</v>
      </c>
      <c r="M41" s="5" cm="1">
        <f t="array" ref="M41">_xlfn.SWITCH(O41,
 "Balance", 20+GrowthType!$E$2*(EnemyStatus!R39-1),
 "Atype",   20+GrowthType!$E$3*(EnemyStatus!R39-1),
 "Dtype",   20+GrowthType!$E$4*(EnemyStatus!R39-1),
 "Itype",   20+GrowthType!$E$5*(EnemyStatus!R39-1),
 "Stype",   20+GrowthType!$E$6*(EnemyStatus!R39-1))</f>
        <v>62</v>
      </c>
      <c r="N41" s="5" cm="1">
        <f t="array" ref="N41">_xlfn.SWITCH(O41,
 "Balance", 20+GrowthType!$F$2*(EnemyStatus!R39-1),
 "Atype",   20+GrowthType!$F$3*(EnemyStatus!R39-1),
 "Dtype",   20+GrowthType!$F$4*(EnemyStatus!R39-1),
 "Itype",   20+GrowthType!$F$5*(EnemyStatus!R39-1),
 "Stype",   20+GrowthType!$F$6*(EnemyStatus!R39-1))</f>
        <v>62</v>
      </c>
      <c r="O41" s="5" t="s">
        <v>10</v>
      </c>
      <c r="P41" s="5" t="s">
        <v>147</v>
      </c>
      <c r="Q41" s="5">
        <v>-1</v>
      </c>
      <c r="R41" s="5">
        <v>27</v>
      </c>
      <c r="S41" s="5">
        <f t="shared" si="2"/>
        <v>76</v>
      </c>
    </row>
    <row r="42" spans="1:19" x14ac:dyDescent="0.55000000000000004">
      <c r="A42" s="5">
        <v>7012</v>
      </c>
      <c r="B42" s="5" t="s">
        <v>158</v>
      </c>
      <c r="C42" s="6" t="s">
        <v>82</v>
      </c>
      <c r="D42" s="5" t="s">
        <v>92</v>
      </c>
      <c r="E42" s="6" t="s">
        <v>91</v>
      </c>
      <c r="F42" s="5" t="s">
        <v>62</v>
      </c>
      <c r="G42" s="6" t="s">
        <v>67</v>
      </c>
      <c r="H42" s="5" t="s">
        <v>73</v>
      </c>
      <c r="I42" s="6" t="s">
        <v>69</v>
      </c>
      <c r="J42" s="5" cm="1">
        <f t="array" ref="J42">_xlfn.SWITCH(O42,
"Balance",150+GrowthType!$B$2*(EnemyStatus!R40-1),
"Atype",150+GrowthType!$B$3*(EnemyStatus!R40-1),
"Dtype",150+GrowthType!$B$4*(EnemyStatus!R40-1),
"Itype",150+GrowthType!$B$5*(EnemyStatus!R40-1),
"Stype",150+GrowthType!$B$6*(EnemyStatus!R40-1))</f>
        <v>510</v>
      </c>
      <c r="K42" s="5" cm="1">
        <f t="array" ref="K42">_xlfn.SWITCH(O42,
 "Balance", 30+GrowthType!$C$2*(EnemyStatus!R40-1),
 "Atype",   30+GrowthType!$C$3*(EnemyStatus!R40-1),
 "Dtype",   30+GrowthType!$C$4*(EnemyStatus!R40-1),
 "Itype",   30+GrowthType!$C$5*(EnemyStatus!R40-1),
 "Stype",   30+GrowthType!$C$6*(EnemyStatus!R40-1))</f>
        <v>102</v>
      </c>
      <c r="L42" s="5" cm="1">
        <f t="array" ref="L42">_xlfn.SWITCH(O42,
 "Balance", 30+GrowthType!$D$2*(EnemyStatus!R40-1),
 "Atype",   30+GrowthType!$D$3*(EnemyStatus!R40-1),
 "Dtype",   30+GrowthType!$D$4*(EnemyStatus!R40-1),
 "Itype",   30+GrowthType!$D$5*(EnemyStatus!R40-1),
 "Stype",   30+GrowthType!$D$6*(EnemyStatus!R40-1))</f>
        <v>102</v>
      </c>
      <c r="M42" s="5" cm="1">
        <f t="array" ref="M42">_xlfn.SWITCH(O42,
 "Balance", 20+GrowthType!$E$2*(EnemyStatus!R40-1),
 "Atype",   20+GrowthType!$E$3*(EnemyStatus!R40-1),
 "Dtype",   20+GrowthType!$E$4*(EnemyStatus!R40-1),
 "Itype",   20+GrowthType!$E$5*(EnemyStatus!R40-1),
 "Stype",   20+GrowthType!$E$6*(EnemyStatus!R40-1))</f>
        <v>68</v>
      </c>
      <c r="N42" s="5" cm="1">
        <f t="array" ref="N42">_xlfn.SWITCH(O42,
 "Balance", 20+GrowthType!$F$2*(EnemyStatus!R40-1),
 "Atype",   20+GrowthType!$F$3*(EnemyStatus!R40-1),
 "Dtype",   20+GrowthType!$F$4*(EnemyStatus!R40-1),
 "Itype",   20+GrowthType!$F$5*(EnemyStatus!R40-1),
 "Stype",   20+GrowthType!$F$6*(EnemyStatus!R40-1))</f>
        <v>68</v>
      </c>
      <c r="O42" s="5" t="s">
        <v>10</v>
      </c>
      <c r="P42" s="5" t="s">
        <v>147</v>
      </c>
      <c r="Q42" s="5">
        <v>-1</v>
      </c>
      <c r="R42" s="5">
        <v>27</v>
      </c>
      <c r="S42" s="5">
        <f t="shared" si="2"/>
        <v>76</v>
      </c>
    </row>
    <row r="43" spans="1:19" x14ac:dyDescent="0.55000000000000004">
      <c r="A43" s="5">
        <v>7013</v>
      </c>
      <c r="B43" s="5" t="s">
        <v>159</v>
      </c>
      <c r="C43" s="6" t="s">
        <v>77</v>
      </c>
      <c r="D43" s="5" t="s">
        <v>92</v>
      </c>
      <c r="E43" s="6" t="s">
        <v>91</v>
      </c>
      <c r="F43" s="5" t="s">
        <v>61</v>
      </c>
      <c r="G43" s="6" t="s">
        <v>66</v>
      </c>
      <c r="H43" s="5" t="s">
        <v>73</v>
      </c>
      <c r="I43" s="6" t="s">
        <v>69</v>
      </c>
      <c r="J43" s="5" cm="1">
        <f t="array" ref="J43">_xlfn.SWITCH(O43,
"Balance",150+GrowthType!$B$2*(EnemyStatus!R41-1),
"Atype",150+GrowthType!$B$3*(EnemyStatus!R41-1),
"Dtype",150+GrowthType!$B$4*(EnemyStatus!R41-1),
"Itype",150+GrowthType!$B$5*(EnemyStatus!R41-1),
"Stype",150+GrowthType!$B$6*(EnemyStatus!R41-1))</f>
        <v>525</v>
      </c>
      <c r="K43" s="5" cm="1">
        <f t="array" ref="K43">_xlfn.SWITCH(O43,
 "Balance", 30+GrowthType!$C$2*(EnemyStatus!R41-1),
 "Atype",   30+GrowthType!$C$3*(EnemyStatus!R41-1),
 "Dtype",   30+GrowthType!$C$4*(EnemyStatus!R41-1),
 "Itype",   30+GrowthType!$C$5*(EnemyStatus!R41-1),
 "Stype",   30+GrowthType!$C$6*(EnemyStatus!R41-1))</f>
        <v>105</v>
      </c>
      <c r="L43" s="5" cm="1">
        <f t="array" ref="L43">_xlfn.SWITCH(O43,
 "Balance", 30+GrowthType!$D$2*(EnemyStatus!R41-1),
 "Atype",   30+GrowthType!$D$3*(EnemyStatus!R41-1),
 "Dtype",   30+GrowthType!$D$4*(EnemyStatus!R41-1),
 "Itype",   30+GrowthType!$D$5*(EnemyStatus!R41-1),
 "Stype",   30+GrowthType!$D$6*(EnemyStatus!R41-1))</f>
        <v>105</v>
      </c>
      <c r="M43" s="5" cm="1">
        <f t="array" ref="M43">_xlfn.SWITCH(O43,
 "Balance", 20+GrowthType!$E$2*(EnemyStatus!R41-1),
 "Atype",   20+GrowthType!$E$3*(EnemyStatus!R41-1),
 "Dtype",   20+GrowthType!$E$4*(EnemyStatus!R41-1),
 "Itype",   20+GrowthType!$E$5*(EnemyStatus!R41-1),
 "Stype",   20+GrowthType!$E$6*(EnemyStatus!R41-1))</f>
        <v>70</v>
      </c>
      <c r="N43" s="5" cm="1">
        <f t="array" ref="N43">_xlfn.SWITCH(O43,
 "Balance", 20+GrowthType!$F$2*(EnemyStatus!R41-1),
 "Atype",   20+GrowthType!$F$3*(EnemyStatus!R41-1),
 "Dtype",   20+GrowthType!$F$4*(EnemyStatus!R41-1),
 "Itype",   20+GrowthType!$F$5*(EnemyStatus!R41-1),
 "Stype",   20+GrowthType!$F$6*(EnemyStatus!R41-1))</f>
        <v>70</v>
      </c>
      <c r="O43" s="5" t="s">
        <v>10</v>
      </c>
      <c r="P43" s="5" t="s">
        <v>147</v>
      </c>
      <c r="Q43" s="5">
        <v>-1</v>
      </c>
      <c r="R43" s="5">
        <v>26</v>
      </c>
      <c r="S43" s="5">
        <f t="shared" si="2"/>
        <v>75</v>
      </c>
    </row>
    <row r="44" spans="1:19" x14ac:dyDescent="0.55000000000000004">
      <c r="A44" s="5">
        <v>7014</v>
      </c>
      <c r="B44" s="5" t="s">
        <v>160</v>
      </c>
      <c r="C44" s="6" t="s">
        <v>84</v>
      </c>
      <c r="D44" s="5" t="s">
        <v>92</v>
      </c>
      <c r="E44" s="6" t="s">
        <v>91</v>
      </c>
      <c r="F44" s="5" t="s">
        <v>59</v>
      </c>
      <c r="G44" s="6" t="s">
        <v>64</v>
      </c>
      <c r="H44" s="5" t="s">
        <v>76</v>
      </c>
      <c r="I44" s="6" t="s">
        <v>72</v>
      </c>
      <c r="J44" s="5" cm="1">
        <f t="array" ref="J44">_xlfn.SWITCH(O44,
"Balance",150+GrowthType!$B$2*(EnemyStatus!R42-1),
"Atype",150+GrowthType!$B$3*(EnemyStatus!R42-1),
"Dtype",150+GrowthType!$B$4*(EnemyStatus!R42-1),
"Itype",150+GrowthType!$B$5*(EnemyStatus!R42-1),
"Stype",150+GrowthType!$B$6*(EnemyStatus!R42-1))</f>
        <v>390</v>
      </c>
      <c r="K44" s="5" cm="1">
        <f t="array" ref="K44">_xlfn.SWITCH(O44,
 "Balance", 30+GrowthType!$C$2*(EnemyStatus!R42-1),
 "Atype",   30+GrowthType!$C$3*(EnemyStatus!R42-1),
 "Dtype",   30+GrowthType!$C$4*(EnemyStatus!R42-1),
 "Itype",   30+GrowthType!$C$5*(EnemyStatus!R42-1),
 "Stype",   30+GrowthType!$C$6*(EnemyStatus!R42-1))</f>
        <v>78</v>
      </c>
      <c r="L44" s="5" cm="1">
        <f t="array" ref="L44">_xlfn.SWITCH(O44,
 "Balance", 30+GrowthType!$D$2*(EnemyStatus!R42-1),
 "Atype",   30+GrowthType!$D$3*(EnemyStatus!R42-1),
 "Dtype",   30+GrowthType!$D$4*(EnemyStatus!R42-1),
 "Itype",   30+GrowthType!$D$5*(EnemyStatus!R42-1),
 "Stype",   30+GrowthType!$D$6*(EnemyStatus!R42-1))</f>
        <v>78</v>
      </c>
      <c r="M44" s="5" cm="1">
        <f t="array" ref="M44">_xlfn.SWITCH(O44,
 "Balance", 20+GrowthType!$E$2*(EnemyStatus!R42-1),
 "Atype",   20+GrowthType!$E$3*(EnemyStatus!R42-1),
 "Dtype",   20+GrowthType!$E$4*(EnemyStatus!R42-1),
 "Itype",   20+GrowthType!$E$5*(EnemyStatus!R42-1),
 "Stype",   20+GrowthType!$E$6*(EnemyStatus!R42-1))</f>
        <v>52</v>
      </c>
      <c r="N44" s="5" cm="1">
        <f t="array" ref="N44">_xlfn.SWITCH(O44,
 "Balance", 20+GrowthType!$F$2*(EnemyStatus!R42-1),
 "Atype",   20+GrowthType!$F$3*(EnemyStatus!R42-1),
 "Dtype",   20+GrowthType!$F$4*(EnemyStatus!R42-1),
 "Itype",   20+GrowthType!$F$5*(EnemyStatus!R42-1),
 "Stype",   20+GrowthType!$F$6*(EnemyStatus!R42-1))</f>
        <v>52</v>
      </c>
      <c r="O44" s="5" t="s">
        <v>10</v>
      </c>
      <c r="P44" s="5" t="s">
        <v>147</v>
      </c>
      <c r="Q44" s="5">
        <v>-1</v>
      </c>
      <c r="R44" s="5">
        <v>25</v>
      </c>
      <c r="S44" s="5">
        <f t="shared" si="2"/>
        <v>74</v>
      </c>
    </row>
    <row r="45" spans="1:19" x14ac:dyDescent="0.55000000000000004">
      <c r="A45" s="5">
        <v>7015</v>
      </c>
      <c r="B45" s="5" t="s">
        <v>161</v>
      </c>
      <c r="C45" s="6" t="s">
        <v>88</v>
      </c>
      <c r="D45" s="5" t="s">
        <v>92</v>
      </c>
      <c r="E45" s="6" t="s">
        <v>91</v>
      </c>
      <c r="F45" s="5" t="s">
        <v>61</v>
      </c>
      <c r="G45" s="6" t="s">
        <v>66</v>
      </c>
      <c r="H45" s="5" t="s">
        <v>74</v>
      </c>
      <c r="I45" s="6" t="s">
        <v>70</v>
      </c>
      <c r="J45" s="5" cm="1">
        <f t="array" ref="J45">_xlfn.SWITCH(O45,
"Balance",150+GrowthType!$B$2*(EnemyStatus!R43-1),
"Atype",150+GrowthType!$B$3*(EnemyStatus!R43-1),
"Dtype",150+GrowthType!$B$4*(EnemyStatus!R43-1),
"Itype",150+GrowthType!$B$5*(EnemyStatus!R43-1),
"Stype",150+GrowthType!$B$6*(EnemyStatus!R43-1))</f>
        <v>480</v>
      </c>
      <c r="K45" s="5" cm="1">
        <f t="array" ref="K45">_xlfn.SWITCH(O45,
 "Balance", 30+GrowthType!$C$2*(EnemyStatus!R43-1),
 "Atype",   30+GrowthType!$C$3*(EnemyStatus!R43-1),
 "Dtype",   30+GrowthType!$C$4*(EnemyStatus!R43-1),
 "Itype",   30+GrowthType!$C$5*(EnemyStatus!R43-1),
 "Stype",   30+GrowthType!$C$6*(EnemyStatus!R43-1))</f>
        <v>96</v>
      </c>
      <c r="L45" s="5" cm="1">
        <f t="array" ref="L45">_xlfn.SWITCH(O45,
 "Balance", 30+GrowthType!$D$2*(EnemyStatus!R43-1),
 "Atype",   30+GrowthType!$D$3*(EnemyStatus!R43-1),
 "Dtype",   30+GrowthType!$D$4*(EnemyStatus!R43-1),
 "Itype",   30+GrowthType!$D$5*(EnemyStatus!R43-1),
 "Stype",   30+GrowthType!$D$6*(EnemyStatus!R43-1))</f>
        <v>96</v>
      </c>
      <c r="M45" s="5" cm="1">
        <f t="array" ref="M45">_xlfn.SWITCH(O45,
 "Balance", 20+GrowthType!$E$2*(EnemyStatus!R43-1),
 "Atype",   20+GrowthType!$E$3*(EnemyStatus!R43-1),
 "Dtype",   20+GrowthType!$E$4*(EnemyStatus!R43-1),
 "Itype",   20+GrowthType!$E$5*(EnemyStatus!R43-1),
 "Stype",   20+GrowthType!$E$6*(EnemyStatus!R43-1))</f>
        <v>64</v>
      </c>
      <c r="N45" s="5" cm="1">
        <f t="array" ref="N45">_xlfn.SWITCH(O45,
 "Balance", 20+GrowthType!$F$2*(EnemyStatus!R43-1),
 "Atype",   20+GrowthType!$F$3*(EnemyStatus!R43-1),
 "Dtype",   20+GrowthType!$F$4*(EnemyStatus!R43-1),
 "Itype",   20+GrowthType!$F$5*(EnemyStatus!R43-1),
 "Stype",   20+GrowthType!$F$6*(EnemyStatus!R43-1))</f>
        <v>64</v>
      </c>
      <c r="O45" s="5" t="s">
        <v>10</v>
      </c>
      <c r="P45" s="5" t="s">
        <v>147</v>
      </c>
      <c r="Q45" s="5">
        <v>-1</v>
      </c>
      <c r="R45" s="5">
        <v>24</v>
      </c>
      <c r="S45" s="5">
        <f t="shared" si="2"/>
        <v>73</v>
      </c>
    </row>
    <row r="46" spans="1:19" x14ac:dyDescent="0.55000000000000004">
      <c r="A46" s="5">
        <v>7016</v>
      </c>
      <c r="B46" s="5" t="s">
        <v>162</v>
      </c>
      <c r="C46" s="6" t="s">
        <v>90</v>
      </c>
      <c r="D46" s="5" t="s">
        <v>92</v>
      </c>
      <c r="E46" s="6" t="s">
        <v>91</v>
      </c>
      <c r="F46" s="5" t="s">
        <v>59</v>
      </c>
      <c r="G46" s="6" t="s">
        <v>64</v>
      </c>
      <c r="H46" s="5" t="s">
        <v>73</v>
      </c>
      <c r="I46" s="6" t="s">
        <v>69</v>
      </c>
      <c r="J46" s="5" cm="1">
        <f t="array" ref="J46">_xlfn.SWITCH(O46,
"Balance",150+GrowthType!$B$2*(EnemyStatus!R44-1),
"Atype",150+GrowthType!$B$3*(EnemyStatus!R44-1),
"Dtype",150+GrowthType!$B$4*(EnemyStatus!R44-1),
"Itype",150+GrowthType!$B$5*(EnemyStatus!R44-1),
"Stype",150+GrowthType!$B$6*(EnemyStatus!R44-1))</f>
        <v>495</v>
      </c>
      <c r="K46" s="5" cm="1">
        <f t="array" ref="K46">_xlfn.SWITCH(O46,
 "Balance", 30+GrowthType!$C$2*(EnemyStatus!R44-1),
 "Atype",   30+GrowthType!$C$3*(EnemyStatus!R44-1),
 "Dtype",   30+GrowthType!$C$4*(EnemyStatus!R44-1),
 "Itype",   30+GrowthType!$C$5*(EnemyStatus!R44-1),
 "Stype",   30+GrowthType!$C$6*(EnemyStatus!R44-1))</f>
        <v>99</v>
      </c>
      <c r="L46" s="5" cm="1">
        <f t="array" ref="L46">_xlfn.SWITCH(O46,
 "Balance", 30+GrowthType!$D$2*(EnemyStatus!R44-1),
 "Atype",   30+GrowthType!$D$3*(EnemyStatus!R44-1),
 "Dtype",   30+GrowthType!$D$4*(EnemyStatus!R44-1),
 "Itype",   30+GrowthType!$D$5*(EnemyStatus!R44-1),
 "Stype",   30+GrowthType!$D$6*(EnemyStatus!R44-1))</f>
        <v>99</v>
      </c>
      <c r="M46" s="5" cm="1">
        <f t="array" ref="M46">_xlfn.SWITCH(O46,
 "Balance", 20+GrowthType!$E$2*(EnemyStatus!R44-1),
 "Atype",   20+GrowthType!$E$3*(EnemyStatus!R44-1),
 "Dtype",   20+GrowthType!$E$4*(EnemyStatus!R44-1),
 "Itype",   20+GrowthType!$E$5*(EnemyStatus!R44-1),
 "Stype",   20+GrowthType!$E$6*(EnemyStatus!R44-1))</f>
        <v>66</v>
      </c>
      <c r="N46" s="5" cm="1">
        <f t="array" ref="N46">_xlfn.SWITCH(O46,
 "Balance", 20+GrowthType!$F$2*(EnemyStatus!R44-1),
 "Atype",   20+GrowthType!$F$3*(EnemyStatus!R44-1),
 "Dtype",   20+GrowthType!$F$4*(EnemyStatus!R44-1),
 "Itype",   20+GrowthType!$F$5*(EnemyStatus!R44-1),
 "Stype",   20+GrowthType!$F$6*(EnemyStatus!R44-1))</f>
        <v>66</v>
      </c>
      <c r="O46" s="5" t="s">
        <v>10</v>
      </c>
      <c r="P46" s="5" t="s">
        <v>147</v>
      </c>
      <c r="Q46" s="5">
        <v>-1</v>
      </c>
      <c r="R46" s="5">
        <v>23</v>
      </c>
      <c r="S46" s="5">
        <f t="shared" si="2"/>
        <v>72</v>
      </c>
    </row>
    <row r="47" spans="1:19" x14ac:dyDescent="0.55000000000000004">
      <c r="A47" s="5">
        <v>7017</v>
      </c>
      <c r="B47" s="5" t="s">
        <v>133</v>
      </c>
      <c r="C47" s="6" t="s">
        <v>83</v>
      </c>
      <c r="D47" s="5" t="s">
        <v>92</v>
      </c>
      <c r="E47" s="6" t="s">
        <v>91</v>
      </c>
      <c r="F47" s="5" t="s">
        <v>62</v>
      </c>
      <c r="G47" s="6" t="s">
        <v>67</v>
      </c>
      <c r="H47" s="5" t="s">
        <v>74</v>
      </c>
      <c r="I47" s="6" t="s">
        <v>70</v>
      </c>
      <c r="J47" s="5" cm="1">
        <f t="array" ref="J47">_xlfn.SWITCH(O47,
"Balance",150+GrowthType!$B$2*(EnemyStatus!R45-1),
"Atype",150+GrowthType!$B$3*(EnemyStatus!R45-1),
"Dtype",150+GrowthType!$B$4*(EnemyStatus!R45-1),
"Itype",150+GrowthType!$B$5*(EnemyStatus!R45-1),
"Stype",150+GrowthType!$B$6*(EnemyStatus!R45-1))</f>
        <v>555</v>
      </c>
      <c r="K47" s="5" cm="1">
        <f t="array" ref="K47">_xlfn.SWITCH(O47,
 "Balance", 30+GrowthType!$C$2*(EnemyStatus!R45-1),
 "Atype",   30+GrowthType!$C$3*(EnemyStatus!R45-1),
 "Dtype",   30+GrowthType!$C$4*(EnemyStatus!R45-1),
 "Itype",   30+GrowthType!$C$5*(EnemyStatus!R45-1),
 "Stype",   30+GrowthType!$C$6*(EnemyStatus!R45-1))</f>
        <v>111</v>
      </c>
      <c r="L47" s="5" cm="1">
        <f t="array" ref="L47">_xlfn.SWITCH(O47,
 "Balance", 30+GrowthType!$D$2*(EnemyStatus!R45-1),
 "Atype",   30+GrowthType!$D$3*(EnemyStatus!R45-1),
 "Dtype",   30+GrowthType!$D$4*(EnemyStatus!R45-1),
 "Itype",   30+GrowthType!$D$5*(EnemyStatus!R45-1),
 "Stype",   30+GrowthType!$D$6*(EnemyStatus!R45-1))</f>
        <v>111</v>
      </c>
      <c r="M47" s="5" cm="1">
        <f t="array" ref="M47">_xlfn.SWITCH(O47,
 "Balance", 20+GrowthType!$E$2*(EnemyStatus!R45-1),
 "Atype",   20+GrowthType!$E$3*(EnemyStatus!R45-1),
 "Dtype",   20+GrowthType!$E$4*(EnemyStatus!R45-1),
 "Itype",   20+GrowthType!$E$5*(EnemyStatus!R45-1),
 "Stype",   20+GrowthType!$E$6*(EnemyStatus!R45-1))</f>
        <v>74</v>
      </c>
      <c r="N47" s="5" cm="1">
        <f t="array" ref="N47">_xlfn.SWITCH(O47,
 "Balance", 20+GrowthType!$F$2*(EnemyStatus!R45-1),
 "Atype",   20+GrowthType!$F$3*(EnemyStatus!R45-1),
 "Dtype",   20+GrowthType!$F$4*(EnemyStatus!R45-1),
 "Itype",   20+GrowthType!$F$5*(EnemyStatus!R45-1),
 "Stype",   20+GrowthType!$F$6*(EnemyStatus!R45-1))</f>
        <v>74</v>
      </c>
      <c r="O47" s="5" t="s">
        <v>10</v>
      </c>
      <c r="P47" s="5" t="s">
        <v>147</v>
      </c>
      <c r="Q47" s="5">
        <v>-1</v>
      </c>
      <c r="R47" s="5">
        <v>29</v>
      </c>
      <c r="S47" s="5">
        <f t="shared" si="2"/>
        <v>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PlayerStatus</vt:lpstr>
      <vt:lpstr>EnemyStatus</vt:lpstr>
      <vt:lpstr>GrowthType</vt:lpstr>
      <vt:lpstr>LevelExp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태웅 김</dc:creator>
  <cp:lastModifiedBy>태웅 김</cp:lastModifiedBy>
  <dcterms:created xsi:type="dcterms:W3CDTF">2026-05-04T01:49:52Z</dcterms:created>
  <dcterms:modified xsi:type="dcterms:W3CDTF">2026-06-05T04:34:43Z</dcterms:modified>
</cp:coreProperties>
</file>
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Project_Github\DGM_Project\Assets\StreamingAssets\"/>
    </mc:Choice>
  </mc:AlternateContent>
  <xr:revisionPtr revIDLastSave="0" documentId="13_ncr:1_{6F2282C8-4866-4E96-A53D-2BC43BE0BBAB}" xr6:coauthVersionLast="47" xr6:coauthVersionMax="47" xr10:uidLastSave="{00000000-0000-0000-0000-000000000000}"/>
  <bookViews>
    <workbookView xWindow="-103" yWindow="-103" windowWidth="24892" windowHeight="14914" activeTab="1" xr2:uid="{8B4AE715-026E-4734-A174-D6D3038A81A1}"/>
  </bookViews>
  <sheets>
    <sheet name="PlayerStatus" sheetId="10" r:id="rId1"/>
    <sheet name="EnemyStatus" sheetId="4" r:id="rId2"/>
    <sheet name="GrowthType" sheetId="3" r:id="rId3"/>
    <sheet name="BabyStatus" sheetId="1" r:id="rId4"/>
    <sheet name="RookieStatus" sheetId="5" r:id="rId5"/>
    <sheet name="ChampionStatus" sheetId="6" r:id="rId6"/>
    <sheet name="VillageEas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2" i="3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12" i="4"/>
  <c r="R11" i="4"/>
  <c r="R10" i="4"/>
  <c r="R9" i="4"/>
  <c r="R8" i="4"/>
  <c r="R7" i="4"/>
  <c r="R6" i="4"/>
  <c r="R5" i="4"/>
  <c r="R4" i="4"/>
  <c r="R3" i="4"/>
  <c r="R2" i="4"/>
  <c r="Q3" i="7"/>
  <c r="Q4" i="7"/>
  <c r="Q5" i="7"/>
  <c r="Q6" i="7"/>
  <c r="Q7" i="7"/>
  <c r="Q8" i="7"/>
  <c r="Q9" i="7"/>
  <c r="Q10" i="7"/>
  <c r="Q11" i="7"/>
  <c r="Q2" i="7"/>
  <c r="L3" i="7"/>
  <c r="M3" i="7"/>
  <c r="L4" i="7"/>
  <c r="M4" i="7"/>
  <c r="L5" i="7"/>
  <c r="M5" i="7"/>
  <c r="L6" i="7"/>
  <c r="M6" i="7"/>
  <c r="L7" i="7"/>
  <c r="M7" i="7"/>
  <c r="L8" i="7"/>
  <c r="M8" i="7"/>
  <c r="L9" i="7"/>
  <c r="M9" i="7"/>
  <c r="L10" i="7"/>
  <c r="M10" i="7"/>
  <c r="L11" i="7"/>
  <c r="M11" i="7"/>
  <c r="N2" i="7"/>
  <c r="M2" i="7"/>
  <c r="L2" i="7"/>
  <c r="K3" i="7"/>
  <c r="K4" i="7"/>
  <c r="K5" i="7"/>
  <c r="K6" i="7"/>
  <c r="K7" i="7"/>
  <c r="K8" i="7"/>
  <c r="K9" i="7"/>
  <c r="K10" i="7"/>
  <c r="K11" i="7"/>
  <c r="K2" i="7"/>
  <c r="J3" i="7"/>
  <c r="J4" i="7"/>
  <c r="J5" i="7"/>
  <c r="J6" i="7"/>
  <c r="J7" i="7"/>
  <c r="J8" i="7"/>
  <c r="J9" i="7"/>
  <c r="J10" i="7"/>
  <c r="J11" i="7"/>
  <c r="J2" i="7"/>
</calcChain>
</file>

<file path=xl/sharedStrings.xml><?xml version="1.0" encoding="utf-8"?>
<sst xmlns="http://schemas.openxmlformats.org/spreadsheetml/2006/main" count="1401" uniqueCount="145">
  <si>
    <t>GrowthType</t>
    <phoneticPr fontId="1" type="noConversion"/>
  </si>
  <si>
    <t>INTInc</t>
    <phoneticPr fontId="1" type="noConversion"/>
  </si>
  <si>
    <t>HPInc</t>
    <phoneticPr fontId="1" type="noConversion"/>
  </si>
  <si>
    <t>ATKInc</t>
    <phoneticPr fontId="1" type="noConversion"/>
  </si>
  <si>
    <t>DEFInc</t>
    <phoneticPr fontId="1" type="noConversion"/>
  </si>
  <si>
    <t>SPDInc</t>
    <phoneticPr fontId="1" type="noConversion"/>
  </si>
  <si>
    <t>Atype</t>
    <phoneticPr fontId="1" type="noConversion"/>
  </si>
  <si>
    <t>Dtype</t>
    <phoneticPr fontId="1" type="noConversion"/>
  </si>
  <si>
    <t>Itype</t>
    <phoneticPr fontId="1" type="noConversion"/>
  </si>
  <si>
    <t>Stype</t>
    <phoneticPr fontId="1" type="noConversion"/>
  </si>
  <si>
    <t>Balance</t>
    <phoneticPr fontId="1" type="noConversion"/>
  </si>
  <si>
    <t>코로몬</t>
    <phoneticPr fontId="1" type="noConversion"/>
  </si>
  <si>
    <t>퍼그몬</t>
    <phoneticPr fontId="1" type="noConversion"/>
  </si>
  <si>
    <t>토코몬</t>
    <phoneticPr fontId="1" type="noConversion"/>
  </si>
  <si>
    <t>냐옹몬</t>
    <phoneticPr fontId="1" type="noConversion"/>
  </si>
  <si>
    <t>어니몬</t>
    <phoneticPr fontId="1" type="noConversion"/>
  </si>
  <si>
    <t>모티몬</t>
    <phoneticPr fontId="1" type="noConversion"/>
  </si>
  <si>
    <t>뿔몬</t>
    <phoneticPr fontId="1" type="noConversion"/>
  </si>
  <si>
    <t>츠메몬</t>
    <phoneticPr fontId="1" type="noConversion"/>
  </si>
  <si>
    <t>시드몬</t>
    <phoneticPr fontId="1" type="noConversion"/>
  </si>
  <si>
    <t>둥실몬</t>
    <phoneticPr fontId="1" type="noConversion"/>
  </si>
  <si>
    <t>None</t>
    <phoneticPr fontId="1" type="noConversion"/>
  </si>
  <si>
    <t>유년기</t>
    <phoneticPr fontId="1" type="noConversion"/>
  </si>
  <si>
    <t>Baby</t>
    <phoneticPr fontId="1" type="noConversion"/>
  </si>
  <si>
    <t>ID</t>
    <phoneticPr fontId="1" type="noConversion"/>
  </si>
  <si>
    <t>DigimonName</t>
    <phoneticPr fontId="1" type="noConversion"/>
  </si>
  <si>
    <t>KorName</t>
    <phoneticPr fontId="1" type="noConversion"/>
  </si>
  <si>
    <t>Grade</t>
    <phoneticPr fontId="1" type="noConversion"/>
  </si>
  <si>
    <t>KorGrade</t>
    <phoneticPr fontId="1" type="noConversion"/>
  </si>
  <si>
    <t>Attr</t>
    <phoneticPr fontId="1" type="noConversion"/>
  </si>
  <si>
    <t>Type</t>
    <phoneticPr fontId="1" type="noConversion"/>
  </si>
  <si>
    <t>BaseHP</t>
    <phoneticPr fontId="1" type="noConversion"/>
  </si>
  <si>
    <t>BaseATK</t>
    <phoneticPr fontId="1" type="noConversion"/>
  </si>
  <si>
    <t>BaseDEF</t>
    <phoneticPr fontId="1" type="noConversion"/>
  </si>
  <si>
    <t>BaseINT</t>
    <phoneticPr fontId="1" type="noConversion"/>
  </si>
  <si>
    <t>BaseSPD</t>
    <phoneticPr fontId="1" type="noConversion"/>
  </si>
  <si>
    <t>브이몬</t>
    <phoneticPr fontId="1" type="noConversion"/>
  </si>
  <si>
    <t>돌몬</t>
    <phoneticPr fontId="1" type="noConversion"/>
  </si>
  <si>
    <t>길몬</t>
    <phoneticPr fontId="1" type="noConversion"/>
  </si>
  <si>
    <t>아구몬</t>
    <phoneticPr fontId="1" type="noConversion"/>
  </si>
  <si>
    <t>파피몬</t>
    <phoneticPr fontId="1" type="noConversion"/>
  </si>
  <si>
    <t>임프몬</t>
    <phoneticPr fontId="1" type="noConversion"/>
  </si>
  <si>
    <t>파닥몬</t>
    <phoneticPr fontId="1" type="noConversion"/>
  </si>
  <si>
    <t>레나몬</t>
    <phoneticPr fontId="1" type="noConversion"/>
  </si>
  <si>
    <t>피코데블몬</t>
    <phoneticPr fontId="1" type="noConversion"/>
  </si>
  <si>
    <t>플롯트몬</t>
    <phoneticPr fontId="1" type="noConversion"/>
  </si>
  <si>
    <t>테리어몬</t>
    <phoneticPr fontId="1" type="noConversion"/>
  </si>
  <si>
    <t>로프몬</t>
    <phoneticPr fontId="1" type="noConversion"/>
  </si>
  <si>
    <t>텐타몬</t>
    <phoneticPr fontId="1" type="noConversion"/>
  </si>
  <si>
    <t>팔몬</t>
    <phoneticPr fontId="1" type="noConversion"/>
  </si>
  <si>
    <t>피요몬</t>
    <phoneticPr fontId="1" type="noConversion"/>
  </si>
  <si>
    <t>쉬라몬</t>
    <phoneticPr fontId="1" type="noConversion"/>
  </si>
  <si>
    <t>가지몬</t>
    <phoneticPr fontId="1" type="noConversion"/>
  </si>
  <si>
    <t>케라몬</t>
    <phoneticPr fontId="1" type="noConversion"/>
  </si>
  <si>
    <t>루체몬</t>
    <phoneticPr fontId="1" type="noConversion"/>
  </si>
  <si>
    <t>성장기</t>
    <phoneticPr fontId="1" type="noConversion"/>
  </si>
  <si>
    <t>Rookie</t>
    <phoneticPr fontId="1" type="noConversion"/>
  </si>
  <si>
    <t>없음</t>
    <phoneticPr fontId="1" type="noConversion"/>
  </si>
  <si>
    <t>KorAttr</t>
    <phoneticPr fontId="1" type="noConversion"/>
  </si>
  <si>
    <t>Vaccine</t>
    <phoneticPr fontId="1" type="noConversion"/>
  </si>
  <si>
    <t>Data</t>
    <phoneticPr fontId="1" type="noConversion"/>
  </si>
  <si>
    <t>Unknown</t>
    <phoneticPr fontId="1" type="noConversion"/>
  </si>
  <si>
    <t>Virus</t>
    <phoneticPr fontId="1" type="noConversion"/>
  </si>
  <si>
    <t>Free</t>
    <phoneticPr fontId="1" type="noConversion"/>
  </si>
  <si>
    <t>백신</t>
    <phoneticPr fontId="1" type="noConversion"/>
  </si>
  <si>
    <t>데이터</t>
    <phoneticPr fontId="1" type="noConversion"/>
  </si>
  <si>
    <t>불명</t>
    <phoneticPr fontId="1" type="noConversion"/>
  </si>
  <si>
    <t>바이러스</t>
    <phoneticPr fontId="1" type="noConversion"/>
  </si>
  <si>
    <t>프리</t>
    <phoneticPr fontId="1" type="noConversion"/>
  </si>
  <si>
    <t>KorType</t>
    <phoneticPr fontId="1" type="noConversion"/>
  </si>
  <si>
    <t>투지</t>
    <phoneticPr fontId="1" type="noConversion"/>
  </si>
  <si>
    <t>인내</t>
    <phoneticPr fontId="1" type="noConversion"/>
  </si>
  <si>
    <t>통찰</t>
    <phoneticPr fontId="1" type="noConversion"/>
  </si>
  <si>
    <t>민첩</t>
    <phoneticPr fontId="1" type="noConversion"/>
  </si>
  <si>
    <t>Fight</t>
    <phoneticPr fontId="1" type="noConversion"/>
  </si>
  <si>
    <t>Endurance</t>
    <phoneticPr fontId="1" type="noConversion"/>
  </si>
  <si>
    <t>Insight</t>
    <phoneticPr fontId="1" type="noConversion"/>
  </si>
  <si>
    <t>Agility</t>
    <phoneticPr fontId="1" type="noConversion"/>
  </si>
  <si>
    <t>그라우몬</t>
    <phoneticPr fontId="1" type="noConversion"/>
  </si>
  <si>
    <t>그레이몬</t>
    <phoneticPr fontId="1" type="noConversion"/>
  </si>
  <si>
    <t>가루몬</t>
    <phoneticPr fontId="1" type="noConversion"/>
  </si>
  <si>
    <t>엔젤몬</t>
    <phoneticPr fontId="1" type="noConversion"/>
  </si>
  <si>
    <t>데빌몬</t>
    <phoneticPr fontId="1" type="noConversion"/>
  </si>
  <si>
    <t>엑스브이몬</t>
    <phoneticPr fontId="1" type="noConversion"/>
  </si>
  <si>
    <t>매그너몬</t>
    <phoneticPr fontId="1" type="noConversion"/>
  </si>
  <si>
    <t>구미호몬</t>
    <phoneticPr fontId="1" type="noConversion"/>
  </si>
  <si>
    <t>원뿔몬</t>
    <phoneticPr fontId="1" type="noConversion"/>
  </si>
  <si>
    <t>크리사리몬</t>
    <phoneticPr fontId="1" type="noConversion"/>
  </si>
  <si>
    <t>우가몬</t>
    <phoneticPr fontId="1" type="noConversion"/>
  </si>
  <si>
    <t>레어몬</t>
    <phoneticPr fontId="1" type="noConversion"/>
  </si>
  <si>
    <t>니드몬</t>
    <phoneticPr fontId="1" type="noConversion"/>
  </si>
  <si>
    <t>티라노몬</t>
    <phoneticPr fontId="1" type="noConversion"/>
  </si>
  <si>
    <t>성숙기</t>
    <phoneticPr fontId="1" type="noConversion"/>
  </si>
  <si>
    <t>Champion</t>
    <phoneticPr fontId="1" type="noConversion"/>
  </si>
  <si>
    <t>가트몬</t>
    <phoneticPr fontId="1" type="noConversion"/>
  </si>
  <si>
    <t>Koromon</t>
    <phoneticPr fontId="1" type="noConversion"/>
  </si>
  <si>
    <t>Tsunomon</t>
    <phoneticPr fontId="1" type="noConversion"/>
  </si>
  <si>
    <t>Tokomon</t>
  </si>
  <si>
    <t>Nyaromon</t>
  </si>
  <si>
    <t>Motimon</t>
  </si>
  <si>
    <t>Yokomon</t>
  </si>
  <si>
    <t>Bukamon</t>
  </si>
  <si>
    <t>Pagumon</t>
  </si>
  <si>
    <t>Tsumemon</t>
  </si>
  <si>
    <t>Tanemon</t>
  </si>
  <si>
    <t>Agumon</t>
  </si>
  <si>
    <t>Biyomon</t>
  </si>
  <si>
    <t>DemiDevimon</t>
  </si>
  <si>
    <t>Dorumon</t>
  </si>
  <si>
    <t>Gabumon</t>
  </si>
  <si>
    <t>Gazimon</t>
  </si>
  <si>
    <t>Gomamon</t>
  </si>
  <si>
    <t>Guilmon</t>
  </si>
  <si>
    <t>Impmon</t>
  </si>
  <si>
    <t>Keramon</t>
  </si>
  <si>
    <t>Lopmon</t>
  </si>
  <si>
    <t>Lucemon</t>
  </si>
  <si>
    <t>Palmon</t>
  </si>
  <si>
    <t>Patamon</t>
  </si>
  <si>
    <t>Renamon</t>
  </si>
  <si>
    <t>Salamon</t>
  </si>
  <si>
    <t>Tentomon</t>
  </si>
  <si>
    <t>Terriermon</t>
  </si>
  <si>
    <t>Veemon</t>
  </si>
  <si>
    <t>Greymon</t>
  </si>
  <si>
    <t>Angemon</t>
  </si>
  <si>
    <t>Chrysalimon</t>
  </si>
  <si>
    <t>Devimon</t>
  </si>
  <si>
    <t>ExVeemon</t>
  </si>
  <si>
    <t>Garurumon</t>
  </si>
  <si>
    <t>Gotomon</t>
  </si>
  <si>
    <t>Growlmon</t>
  </si>
  <si>
    <t>Ikkakumon</t>
  </si>
  <si>
    <t>Kyubimon</t>
  </si>
  <si>
    <t>Magnamon</t>
  </si>
  <si>
    <t>Ogremon</t>
  </si>
  <si>
    <t>Raremon</t>
  </si>
  <si>
    <t>Togemon</t>
  </si>
  <si>
    <t>Tyrannomon</t>
  </si>
  <si>
    <t>EXP</t>
    <phoneticPr fontId="1" type="noConversion"/>
  </si>
  <si>
    <t>Level</t>
    <phoneticPr fontId="1" type="noConversion"/>
  </si>
  <si>
    <t>버드라몬</t>
    <phoneticPr fontId="1" type="noConversion"/>
  </si>
  <si>
    <t>캅테리몬</t>
    <phoneticPr fontId="1" type="noConversion"/>
  </si>
  <si>
    <t>Evo</t>
    <phoneticPr fontId="1" type="noConversion"/>
  </si>
  <si>
    <t>Togemon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</si>
</sst>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B5FD-6714-48F7-A243-90EB8A61A1B2}">
  <dimension ref="A1:P45"/>
  <sheetViews>
    <sheetView workbookViewId="0">
      <selection activeCell="J2" sqref="J2:N11"/>
    </sheetView>
  </sheetViews>
  <sheetFormatPr defaultRowHeight="17.600000000000001" x14ac:dyDescent="0.55000000000000004"/>
  <cols>
    <col min="15" max="15" width="15.640625" customWidth="1"/>
  </cols>
  <sheetData>
    <row r="1" spans="1:16" x14ac:dyDescent="0.55000000000000004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58</v>
      </c>
      <c r="H1" t="s">
        <v>30</v>
      </c>
      <c r="I1" t="s">
        <v>69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0</v>
      </c>
      <c r="P1" t="s">
        <v>143</v>
      </c>
    </row>
    <row r="2" spans="1:16" x14ac:dyDescent="0.55000000000000004">
      <c r="A2" s="2">
        <v>1001</v>
      </c>
      <c r="B2" s="2" t="s">
        <v>95</v>
      </c>
      <c r="C2" s="3" t="s">
        <v>11</v>
      </c>
      <c r="D2" s="2" t="s">
        <v>23</v>
      </c>
      <c r="E2" s="3" t="s">
        <v>22</v>
      </c>
      <c r="F2" s="2" t="s">
        <v>21</v>
      </c>
      <c r="G2" s="3" t="s">
        <v>57</v>
      </c>
      <c r="H2" s="3" t="s">
        <v>21</v>
      </c>
      <c r="I2" s="3" t="s">
        <v>57</v>
      </c>
      <c r="J2" s="2">
        <v>150</v>
      </c>
      <c r="K2" s="2">
        <v>30</v>
      </c>
      <c r="L2" s="2">
        <v>30</v>
      </c>
      <c r="M2" s="2">
        <v>20</v>
      </c>
      <c r="N2" s="2">
        <v>20</v>
      </c>
      <c r="O2" s="2" t="s">
        <v>10</v>
      </c>
      <c r="P2" s="2">
        <v>2001</v>
      </c>
    </row>
    <row r="3" spans="1:16" x14ac:dyDescent="0.55000000000000004">
      <c r="A3" s="2">
        <v>1002</v>
      </c>
      <c r="B3" s="2" t="s">
        <v>96</v>
      </c>
      <c r="C3" s="3" t="s">
        <v>17</v>
      </c>
      <c r="D3" s="2" t="s">
        <v>23</v>
      </c>
      <c r="E3" s="3" t="s">
        <v>22</v>
      </c>
      <c r="F3" s="2" t="s">
        <v>21</v>
      </c>
      <c r="G3" s="3" t="s">
        <v>57</v>
      </c>
      <c r="H3" s="3" t="s">
        <v>21</v>
      </c>
      <c r="I3" s="3" t="s">
        <v>57</v>
      </c>
      <c r="J3" s="2">
        <v>150</v>
      </c>
      <c r="K3" s="2">
        <v>30</v>
      </c>
      <c r="L3" s="2">
        <v>30</v>
      </c>
      <c r="M3" s="2">
        <v>20</v>
      </c>
      <c r="N3" s="2">
        <v>20</v>
      </c>
      <c r="O3" s="2" t="s">
        <v>10</v>
      </c>
      <c r="P3" s="2">
        <v>2002</v>
      </c>
    </row>
    <row r="4" spans="1:16" x14ac:dyDescent="0.55000000000000004">
      <c r="A4" s="2">
        <v>1003</v>
      </c>
      <c r="B4" s="2" t="s">
        <v>97</v>
      </c>
      <c r="C4" s="3" t="s">
        <v>13</v>
      </c>
      <c r="D4" s="2" t="s">
        <v>23</v>
      </c>
      <c r="E4" s="3" t="s">
        <v>22</v>
      </c>
      <c r="F4" s="2" t="s">
        <v>21</v>
      </c>
      <c r="G4" s="3" t="s">
        <v>57</v>
      </c>
      <c r="H4" s="3" t="s">
        <v>21</v>
      </c>
      <c r="I4" s="3" t="s">
        <v>57</v>
      </c>
      <c r="J4" s="2">
        <v>150</v>
      </c>
      <c r="K4" s="2">
        <v>30</v>
      </c>
      <c r="L4" s="2">
        <v>30</v>
      </c>
      <c r="M4" s="2">
        <v>20</v>
      </c>
      <c r="N4" s="2">
        <v>20</v>
      </c>
      <c r="O4" s="2" t="s">
        <v>10</v>
      </c>
      <c r="P4" s="2">
        <v>2003</v>
      </c>
    </row>
    <row r="5" spans="1:16" x14ac:dyDescent="0.55000000000000004">
      <c r="A5" s="2">
        <v>1004</v>
      </c>
      <c r="B5" s="2" t="s">
        <v>98</v>
      </c>
      <c r="C5" s="3" t="s">
        <v>14</v>
      </c>
      <c r="D5" s="2" t="s">
        <v>23</v>
      </c>
      <c r="E5" s="3" t="s">
        <v>22</v>
      </c>
      <c r="F5" s="2" t="s">
        <v>21</v>
      </c>
      <c r="G5" s="3" t="s">
        <v>57</v>
      </c>
      <c r="H5" s="3" t="s">
        <v>21</v>
      </c>
      <c r="I5" s="3" t="s">
        <v>57</v>
      </c>
      <c r="J5" s="2">
        <v>150</v>
      </c>
      <c r="K5" s="2">
        <v>30</v>
      </c>
      <c r="L5" s="2">
        <v>30</v>
      </c>
      <c r="M5" s="2">
        <v>20</v>
      </c>
      <c r="N5" s="2">
        <v>20</v>
      </c>
      <c r="O5" s="2" t="s">
        <v>10</v>
      </c>
      <c r="P5" s="2">
        <v>2004</v>
      </c>
    </row>
    <row r="6" spans="1:16" x14ac:dyDescent="0.55000000000000004">
      <c r="A6" s="2">
        <v>1005</v>
      </c>
      <c r="B6" s="2" t="s">
        <v>100</v>
      </c>
      <c r="C6" s="3" t="s">
        <v>15</v>
      </c>
      <c r="D6" s="2" t="s">
        <v>23</v>
      </c>
      <c r="E6" s="3" t="s">
        <v>22</v>
      </c>
      <c r="F6" s="2" t="s">
        <v>21</v>
      </c>
      <c r="G6" s="3" t="s">
        <v>57</v>
      </c>
      <c r="H6" s="3" t="s">
        <v>21</v>
      </c>
      <c r="I6" s="3" t="s">
        <v>57</v>
      </c>
      <c r="J6" s="2">
        <v>150</v>
      </c>
      <c r="K6" s="2">
        <v>30</v>
      </c>
      <c r="L6" s="2">
        <v>30</v>
      </c>
      <c r="M6" s="2">
        <v>20</v>
      </c>
      <c r="N6" s="2">
        <v>20</v>
      </c>
      <c r="O6" s="2" t="s">
        <v>10</v>
      </c>
      <c r="P6" s="2">
        <v>2005</v>
      </c>
    </row>
    <row r="7" spans="1:16" x14ac:dyDescent="0.55000000000000004">
      <c r="A7" s="2">
        <v>1006</v>
      </c>
      <c r="B7" s="2" t="s">
        <v>99</v>
      </c>
      <c r="C7" s="3" t="s">
        <v>16</v>
      </c>
      <c r="D7" s="2" t="s">
        <v>23</v>
      </c>
      <c r="E7" s="3" t="s">
        <v>22</v>
      </c>
      <c r="F7" s="2" t="s">
        <v>21</v>
      </c>
      <c r="G7" s="3" t="s">
        <v>57</v>
      </c>
      <c r="H7" s="3" t="s">
        <v>21</v>
      </c>
      <c r="I7" s="3" t="s">
        <v>57</v>
      </c>
      <c r="J7" s="2">
        <v>150</v>
      </c>
      <c r="K7" s="2">
        <v>30</v>
      </c>
      <c r="L7" s="2">
        <v>30</v>
      </c>
      <c r="M7" s="2">
        <v>20</v>
      </c>
      <c r="N7" s="2">
        <v>20</v>
      </c>
      <c r="O7" s="2" t="s">
        <v>10</v>
      </c>
      <c r="P7" s="2">
        <v>2006</v>
      </c>
    </row>
    <row r="8" spans="1:16" x14ac:dyDescent="0.55000000000000004">
      <c r="A8" s="2">
        <v>1007</v>
      </c>
      <c r="B8" s="2" t="s">
        <v>104</v>
      </c>
      <c r="C8" s="3" t="s">
        <v>19</v>
      </c>
      <c r="D8" s="2" t="s">
        <v>23</v>
      </c>
      <c r="E8" s="3" t="s">
        <v>22</v>
      </c>
      <c r="F8" s="2" t="s">
        <v>21</v>
      </c>
      <c r="G8" s="3" t="s">
        <v>57</v>
      </c>
      <c r="H8" s="3" t="s">
        <v>21</v>
      </c>
      <c r="I8" s="3" t="s">
        <v>57</v>
      </c>
      <c r="J8" s="2">
        <v>150</v>
      </c>
      <c r="K8" s="2">
        <v>30</v>
      </c>
      <c r="L8" s="2">
        <v>30</v>
      </c>
      <c r="M8" s="2">
        <v>20</v>
      </c>
      <c r="N8" s="2">
        <v>20</v>
      </c>
      <c r="O8" s="2" t="s">
        <v>10</v>
      </c>
      <c r="P8" s="2">
        <v>2007</v>
      </c>
    </row>
    <row r="9" spans="1:16" x14ac:dyDescent="0.55000000000000004">
      <c r="A9" s="2">
        <v>1008</v>
      </c>
      <c r="B9" s="2" t="s">
        <v>101</v>
      </c>
      <c r="C9" s="3" t="s">
        <v>20</v>
      </c>
      <c r="D9" s="2" t="s">
        <v>23</v>
      </c>
      <c r="E9" s="3" t="s">
        <v>22</v>
      </c>
      <c r="F9" s="2" t="s">
        <v>21</v>
      </c>
      <c r="G9" s="3" t="s">
        <v>57</v>
      </c>
      <c r="H9" s="3" t="s">
        <v>21</v>
      </c>
      <c r="I9" s="3" t="s">
        <v>57</v>
      </c>
      <c r="J9" s="2">
        <v>150</v>
      </c>
      <c r="K9" s="2">
        <v>30</v>
      </c>
      <c r="L9" s="2">
        <v>30</v>
      </c>
      <c r="M9" s="2">
        <v>20</v>
      </c>
      <c r="N9" s="2">
        <v>20</v>
      </c>
      <c r="O9" s="2" t="s">
        <v>10</v>
      </c>
      <c r="P9" s="2">
        <v>2008</v>
      </c>
    </row>
    <row r="10" spans="1:16" x14ac:dyDescent="0.55000000000000004">
      <c r="A10" s="2">
        <v>1009</v>
      </c>
      <c r="B10" s="2" t="s">
        <v>103</v>
      </c>
      <c r="C10" s="3" t="s">
        <v>18</v>
      </c>
      <c r="D10" s="2" t="s">
        <v>23</v>
      </c>
      <c r="E10" s="3" t="s">
        <v>22</v>
      </c>
      <c r="F10" s="2" t="s">
        <v>21</v>
      </c>
      <c r="G10" s="3" t="s">
        <v>57</v>
      </c>
      <c r="H10" s="3" t="s">
        <v>21</v>
      </c>
      <c r="I10" s="3" t="s">
        <v>57</v>
      </c>
      <c r="J10" s="2">
        <v>150</v>
      </c>
      <c r="K10" s="2">
        <v>30</v>
      </c>
      <c r="L10" s="2">
        <v>30</v>
      </c>
      <c r="M10" s="2">
        <v>20</v>
      </c>
      <c r="N10" s="2">
        <v>20</v>
      </c>
      <c r="O10" s="2" t="s">
        <v>10</v>
      </c>
      <c r="P10" s="2">
        <v>2009</v>
      </c>
    </row>
    <row r="11" spans="1:16" x14ac:dyDescent="0.55000000000000004">
      <c r="A11" s="2">
        <v>1010</v>
      </c>
      <c r="B11" s="2" t="s">
        <v>102</v>
      </c>
      <c r="C11" s="3" t="s">
        <v>12</v>
      </c>
      <c r="D11" s="2" t="s">
        <v>23</v>
      </c>
      <c r="E11" s="3" t="s">
        <v>22</v>
      </c>
      <c r="F11" s="2" t="s">
        <v>21</v>
      </c>
      <c r="G11" s="3" t="s">
        <v>57</v>
      </c>
      <c r="H11" s="3" t="s">
        <v>21</v>
      </c>
      <c r="I11" s="3" t="s">
        <v>57</v>
      </c>
      <c r="J11" s="2">
        <v>150</v>
      </c>
      <c r="K11" s="2">
        <v>30</v>
      </c>
      <c r="L11" s="2">
        <v>30</v>
      </c>
      <c r="M11" s="2">
        <v>20</v>
      </c>
      <c r="N11" s="2">
        <v>20</v>
      </c>
      <c r="O11" s="2" t="s">
        <v>10</v>
      </c>
      <c r="P11" s="2">
        <v>2010</v>
      </c>
    </row>
    <row r="12" spans="1:16" x14ac:dyDescent="0.55000000000000004">
      <c r="A12" s="4">
        <v>2001</v>
      </c>
      <c r="B12" s="4" t="s">
        <v>105</v>
      </c>
      <c r="C12" s="5" t="s">
        <v>39</v>
      </c>
      <c r="D12" s="4" t="s">
        <v>56</v>
      </c>
      <c r="E12" s="5" t="s">
        <v>55</v>
      </c>
      <c r="F12" s="4" t="s">
        <v>59</v>
      </c>
      <c r="G12" s="5" t="s">
        <v>64</v>
      </c>
      <c r="H12" s="4" t="s">
        <v>74</v>
      </c>
      <c r="I12" s="5" t="s">
        <v>70</v>
      </c>
      <c r="J12" s="4">
        <v>300</v>
      </c>
      <c r="K12" s="4">
        <v>60</v>
      </c>
      <c r="L12" s="4">
        <v>60</v>
      </c>
      <c r="M12" s="4">
        <v>40</v>
      </c>
      <c r="N12" s="4">
        <v>40</v>
      </c>
      <c r="O12" s="4" t="s">
        <v>10</v>
      </c>
      <c r="P12" s="4">
        <v>3001</v>
      </c>
    </row>
    <row r="13" spans="1:16" x14ac:dyDescent="0.55000000000000004">
      <c r="A13" s="4">
        <v>2002</v>
      </c>
      <c r="B13" s="4" t="s">
        <v>109</v>
      </c>
      <c r="C13" s="5" t="s">
        <v>40</v>
      </c>
      <c r="D13" s="4" t="s">
        <v>56</v>
      </c>
      <c r="E13" s="5" t="s">
        <v>55</v>
      </c>
      <c r="F13" s="4" t="s">
        <v>60</v>
      </c>
      <c r="G13" s="5" t="s">
        <v>65</v>
      </c>
      <c r="H13" s="4" t="s">
        <v>75</v>
      </c>
      <c r="I13" s="5" t="s">
        <v>71</v>
      </c>
      <c r="J13" s="4">
        <v>300</v>
      </c>
      <c r="K13" s="4">
        <v>60</v>
      </c>
      <c r="L13" s="4">
        <v>60</v>
      </c>
      <c r="M13" s="4">
        <v>40</v>
      </c>
      <c r="N13" s="4">
        <v>40</v>
      </c>
      <c r="O13" s="4" t="s">
        <v>10</v>
      </c>
      <c r="P13" s="4">
        <v>3002</v>
      </c>
    </row>
    <row r="14" spans="1:16" x14ac:dyDescent="0.55000000000000004">
      <c r="A14" s="4">
        <v>2003</v>
      </c>
      <c r="B14" s="4" t="s">
        <v>118</v>
      </c>
      <c r="C14" s="5" t="s">
        <v>42</v>
      </c>
      <c r="D14" s="4" t="s">
        <v>56</v>
      </c>
      <c r="E14" s="5" t="s">
        <v>55</v>
      </c>
      <c r="F14" s="4" t="s">
        <v>60</v>
      </c>
      <c r="G14" s="5" t="s">
        <v>65</v>
      </c>
      <c r="H14" s="4" t="s">
        <v>76</v>
      </c>
      <c r="I14" s="5" t="s">
        <v>72</v>
      </c>
      <c r="J14" s="4">
        <v>300</v>
      </c>
      <c r="K14" s="4">
        <v>60</v>
      </c>
      <c r="L14" s="4">
        <v>60</v>
      </c>
      <c r="M14" s="4">
        <v>40</v>
      </c>
      <c r="N14" s="4">
        <v>40</v>
      </c>
      <c r="O14" s="4" t="s">
        <v>10</v>
      </c>
      <c r="P14" s="4">
        <v>3003</v>
      </c>
    </row>
    <row r="15" spans="1:16" x14ac:dyDescent="0.55000000000000004">
      <c r="A15" s="4">
        <v>2004</v>
      </c>
      <c r="B15" s="4" t="s">
        <v>120</v>
      </c>
      <c r="C15" s="5" t="s">
        <v>45</v>
      </c>
      <c r="D15" s="4" t="s">
        <v>56</v>
      </c>
      <c r="E15" s="5" t="s">
        <v>55</v>
      </c>
      <c r="F15" s="4" t="s">
        <v>59</v>
      </c>
      <c r="G15" s="5" t="s">
        <v>64</v>
      </c>
      <c r="H15" s="4" t="s">
        <v>76</v>
      </c>
      <c r="I15" s="5" t="s">
        <v>72</v>
      </c>
      <c r="J15" s="4">
        <v>300</v>
      </c>
      <c r="K15" s="4">
        <v>60</v>
      </c>
      <c r="L15" s="4">
        <v>60</v>
      </c>
      <c r="M15" s="4">
        <v>40</v>
      </c>
      <c r="N15" s="4">
        <v>40</v>
      </c>
      <c r="O15" s="4" t="s">
        <v>10</v>
      </c>
      <c r="P15" s="4">
        <v>3004</v>
      </c>
    </row>
    <row r="16" spans="1:16" x14ac:dyDescent="0.55000000000000004">
      <c r="A16" s="4">
        <v>2005</v>
      </c>
      <c r="B16" s="4" t="s">
        <v>106</v>
      </c>
      <c r="C16" s="5" t="s">
        <v>50</v>
      </c>
      <c r="D16" s="4" t="s">
        <v>56</v>
      </c>
      <c r="E16" s="5" t="s">
        <v>55</v>
      </c>
      <c r="F16" s="4" t="s">
        <v>59</v>
      </c>
      <c r="G16" s="5" t="s">
        <v>64</v>
      </c>
      <c r="H16" s="4" t="s">
        <v>77</v>
      </c>
      <c r="I16" s="5" t="s">
        <v>73</v>
      </c>
      <c r="J16" s="4">
        <v>300</v>
      </c>
      <c r="K16" s="4">
        <v>60</v>
      </c>
      <c r="L16" s="4">
        <v>60</v>
      </c>
      <c r="M16" s="4">
        <v>40</v>
      </c>
      <c r="N16" s="4">
        <v>40</v>
      </c>
      <c r="O16" s="4" t="s">
        <v>10</v>
      </c>
      <c r="P16" s="4">
        <v>-1</v>
      </c>
    </row>
    <row r="17" spans="1:16" x14ac:dyDescent="0.55000000000000004">
      <c r="A17" s="4">
        <v>2006</v>
      </c>
      <c r="B17" s="4" t="s">
        <v>121</v>
      </c>
      <c r="C17" s="5" t="s">
        <v>48</v>
      </c>
      <c r="D17" s="4" t="s">
        <v>56</v>
      </c>
      <c r="E17" s="5" t="s">
        <v>55</v>
      </c>
      <c r="F17" s="4" t="s">
        <v>59</v>
      </c>
      <c r="G17" s="5" t="s">
        <v>64</v>
      </c>
      <c r="H17" s="4" t="s">
        <v>77</v>
      </c>
      <c r="I17" s="5" t="s">
        <v>73</v>
      </c>
      <c r="J17" s="4">
        <v>300</v>
      </c>
      <c r="K17" s="4">
        <v>60</v>
      </c>
      <c r="L17" s="4">
        <v>60</v>
      </c>
      <c r="M17" s="4">
        <v>40</v>
      </c>
      <c r="N17" s="4">
        <v>40</v>
      </c>
      <c r="O17" s="4" t="s">
        <v>10</v>
      </c>
      <c r="P17" s="4">
        <v>-1</v>
      </c>
    </row>
    <row r="18" spans="1:16" x14ac:dyDescent="0.55000000000000004">
      <c r="A18" s="4">
        <v>2007</v>
      </c>
      <c r="B18" s="4" t="s">
        <v>117</v>
      </c>
      <c r="C18" s="5" t="s">
        <v>49</v>
      </c>
      <c r="D18" s="4" t="s">
        <v>56</v>
      </c>
      <c r="E18" s="5" t="s">
        <v>55</v>
      </c>
      <c r="F18" s="4" t="s">
        <v>60</v>
      </c>
      <c r="G18" s="5" t="s">
        <v>65</v>
      </c>
      <c r="H18" s="4" t="s">
        <v>75</v>
      </c>
      <c r="I18" s="5" t="s">
        <v>71</v>
      </c>
      <c r="J18" s="4">
        <v>300</v>
      </c>
      <c r="K18" s="4">
        <v>60</v>
      </c>
      <c r="L18" s="4">
        <v>60</v>
      </c>
      <c r="M18" s="4">
        <v>40</v>
      </c>
      <c r="N18" s="4">
        <v>40</v>
      </c>
      <c r="O18" s="4" t="s">
        <v>10</v>
      </c>
      <c r="P18" s="4">
        <v>3007</v>
      </c>
    </row>
    <row r="19" spans="1:16" x14ac:dyDescent="0.55000000000000004">
      <c r="A19" s="4">
        <v>2008</v>
      </c>
      <c r="B19" s="4" t="s">
        <v>111</v>
      </c>
      <c r="C19" s="5" t="s">
        <v>51</v>
      </c>
      <c r="D19" s="4" t="s">
        <v>56</v>
      </c>
      <c r="E19" s="5" t="s">
        <v>55</v>
      </c>
      <c r="F19" s="4" t="s">
        <v>59</v>
      </c>
      <c r="G19" s="5" t="s">
        <v>64</v>
      </c>
      <c r="H19" s="4" t="s">
        <v>75</v>
      </c>
      <c r="I19" s="5" t="s">
        <v>71</v>
      </c>
      <c r="J19" s="4">
        <v>300</v>
      </c>
      <c r="K19" s="4">
        <v>60</v>
      </c>
      <c r="L19" s="4">
        <v>60</v>
      </c>
      <c r="M19" s="4">
        <v>40</v>
      </c>
      <c r="N19" s="4">
        <v>40</v>
      </c>
      <c r="O19" s="4" t="s">
        <v>10</v>
      </c>
      <c r="P19" s="4">
        <v>3008</v>
      </c>
    </row>
    <row r="20" spans="1:16" x14ac:dyDescent="0.55000000000000004">
      <c r="A20" s="4">
        <v>2009</v>
      </c>
      <c r="B20" s="4" t="s">
        <v>114</v>
      </c>
      <c r="C20" s="5" t="s">
        <v>53</v>
      </c>
      <c r="D20" s="4" t="s">
        <v>56</v>
      </c>
      <c r="E20" s="5" t="s">
        <v>55</v>
      </c>
      <c r="F20" s="4" t="s">
        <v>61</v>
      </c>
      <c r="G20" s="5" t="s">
        <v>66</v>
      </c>
      <c r="H20" s="4" t="s">
        <v>76</v>
      </c>
      <c r="I20" s="5" t="s">
        <v>72</v>
      </c>
      <c r="J20" s="4">
        <v>300</v>
      </c>
      <c r="K20" s="4">
        <v>60</v>
      </c>
      <c r="L20" s="4">
        <v>60</v>
      </c>
      <c r="M20" s="4">
        <v>40</v>
      </c>
      <c r="N20" s="4">
        <v>40</v>
      </c>
      <c r="O20" s="4" t="s">
        <v>10</v>
      </c>
      <c r="P20" s="4">
        <v>3009</v>
      </c>
    </row>
    <row r="21" spans="1:16" x14ac:dyDescent="0.55000000000000004">
      <c r="A21" s="4">
        <v>2010</v>
      </c>
      <c r="B21" s="4" t="s">
        <v>110</v>
      </c>
      <c r="C21" s="5" t="s">
        <v>52</v>
      </c>
      <c r="D21" s="4" t="s">
        <v>56</v>
      </c>
      <c r="E21" s="5" t="s">
        <v>55</v>
      </c>
      <c r="F21" s="4" t="s">
        <v>62</v>
      </c>
      <c r="G21" s="5" t="s">
        <v>67</v>
      </c>
      <c r="H21" s="4" t="s">
        <v>74</v>
      </c>
      <c r="I21" s="5" t="s">
        <v>70</v>
      </c>
      <c r="J21" s="4">
        <v>300</v>
      </c>
      <c r="K21" s="4">
        <v>60</v>
      </c>
      <c r="L21" s="4">
        <v>60</v>
      </c>
      <c r="M21" s="4">
        <v>40</v>
      </c>
      <c r="N21" s="4">
        <v>40</v>
      </c>
      <c r="O21" s="4" t="s">
        <v>10</v>
      </c>
      <c r="P21" s="4">
        <v>-1</v>
      </c>
    </row>
    <row r="22" spans="1:16" x14ac:dyDescent="0.55000000000000004">
      <c r="A22" s="4">
        <v>2011</v>
      </c>
      <c r="B22" s="4" t="s">
        <v>107</v>
      </c>
      <c r="C22" s="5" t="s">
        <v>44</v>
      </c>
      <c r="D22" s="4" t="s">
        <v>56</v>
      </c>
      <c r="E22" s="5" t="s">
        <v>55</v>
      </c>
      <c r="F22" s="4" t="s">
        <v>62</v>
      </c>
      <c r="G22" s="5" t="s">
        <v>67</v>
      </c>
      <c r="H22" s="4" t="s">
        <v>77</v>
      </c>
      <c r="I22" s="5" t="s">
        <v>73</v>
      </c>
      <c r="J22" s="4">
        <v>300</v>
      </c>
      <c r="K22" s="4">
        <v>60</v>
      </c>
      <c r="L22" s="4">
        <v>60</v>
      </c>
      <c r="M22" s="4">
        <v>40</v>
      </c>
      <c r="N22" s="4">
        <v>40</v>
      </c>
      <c r="O22" s="4" t="s">
        <v>10</v>
      </c>
      <c r="P22" s="4">
        <v>3011</v>
      </c>
    </row>
    <row r="23" spans="1:16" x14ac:dyDescent="0.55000000000000004">
      <c r="A23" s="4">
        <v>2012</v>
      </c>
      <c r="B23" s="4" t="s">
        <v>123</v>
      </c>
      <c r="C23" s="5" t="s">
        <v>36</v>
      </c>
      <c r="D23" s="4" t="s">
        <v>56</v>
      </c>
      <c r="E23" s="5" t="s">
        <v>55</v>
      </c>
      <c r="F23" s="4" t="s">
        <v>63</v>
      </c>
      <c r="G23" s="5" t="s">
        <v>68</v>
      </c>
      <c r="H23" s="4" t="s">
        <v>74</v>
      </c>
      <c r="I23" s="5" t="s">
        <v>70</v>
      </c>
      <c r="J23" s="4">
        <v>300</v>
      </c>
      <c r="K23" s="4">
        <v>60</v>
      </c>
      <c r="L23" s="4">
        <v>60</v>
      </c>
      <c r="M23" s="4">
        <v>40</v>
      </c>
      <c r="N23" s="4">
        <v>40</v>
      </c>
      <c r="O23" s="4" t="s">
        <v>10</v>
      </c>
      <c r="P23" s="4">
        <v>3012</v>
      </c>
    </row>
    <row r="24" spans="1:16" x14ac:dyDescent="0.55000000000000004">
      <c r="A24" s="4">
        <v>2013</v>
      </c>
      <c r="B24" s="4" t="s">
        <v>112</v>
      </c>
      <c r="C24" s="5" t="s">
        <v>38</v>
      </c>
      <c r="D24" s="4" t="s">
        <v>56</v>
      </c>
      <c r="E24" s="5" t="s">
        <v>55</v>
      </c>
      <c r="F24" s="4" t="s">
        <v>62</v>
      </c>
      <c r="G24" s="5" t="s">
        <v>67</v>
      </c>
      <c r="H24" s="4" t="s">
        <v>74</v>
      </c>
      <c r="I24" s="5" t="s">
        <v>70</v>
      </c>
      <c r="J24" s="4">
        <v>300</v>
      </c>
      <c r="K24" s="4">
        <v>60</v>
      </c>
      <c r="L24" s="4">
        <v>60</v>
      </c>
      <c r="M24" s="4">
        <v>40</v>
      </c>
      <c r="N24" s="4">
        <v>40</v>
      </c>
      <c r="O24" s="4" t="s">
        <v>10</v>
      </c>
      <c r="P24" s="4">
        <v>3013</v>
      </c>
    </row>
    <row r="25" spans="1:16" x14ac:dyDescent="0.55000000000000004">
      <c r="A25" s="4">
        <v>2014</v>
      </c>
      <c r="B25" s="4" t="s">
        <v>119</v>
      </c>
      <c r="C25" s="5" t="s">
        <v>43</v>
      </c>
      <c r="D25" s="4" t="s">
        <v>56</v>
      </c>
      <c r="E25" s="5" t="s">
        <v>55</v>
      </c>
      <c r="F25" s="4" t="s">
        <v>60</v>
      </c>
      <c r="G25" s="5" t="s">
        <v>65</v>
      </c>
      <c r="H25" s="4" t="s">
        <v>77</v>
      </c>
      <c r="I25" s="5" t="s">
        <v>73</v>
      </c>
      <c r="J25" s="4">
        <v>300</v>
      </c>
      <c r="K25" s="4">
        <v>60</v>
      </c>
      <c r="L25" s="4">
        <v>60</v>
      </c>
      <c r="M25" s="4">
        <v>40</v>
      </c>
      <c r="N25" s="4">
        <v>40</v>
      </c>
      <c r="O25" s="4" t="s">
        <v>10</v>
      </c>
      <c r="P25" s="4">
        <v>3014</v>
      </c>
    </row>
    <row r="26" spans="1:16" x14ac:dyDescent="0.55000000000000004">
      <c r="A26" s="4">
        <v>2015</v>
      </c>
      <c r="B26" s="4" t="s">
        <v>122</v>
      </c>
      <c r="C26" s="5" t="s">
        <v>46</v>
      </c>
      <c r="D26" s="4" t="s">
        <v>56</v>
      </c>
      <c r="E26" s="5" t="s">
        <v>55</v>
      </c>
      <c r="F26" s="4" t="s">
        <v>59</v>
      </c>
      <c r="G26" s="5" t="s">
        <v>64</v>
      </c>
      <c r="H26" s="4" t="s">
        <v>75</v>
      </c>
      <c r="I26" s="5" t="s">
        <v>71</v>
      </c>
      <c r="J26" s="4">
        <v>300</v>
      </c>
      <c r="K26" s="4">
        <v>60</v>
      </c>
      <c r="L26" s="4">
        <v>60</v>
      </c>
      <c r="M26" s="4">
        <v>40</v>
      </c>
      <c r="N26" s="4">
        <v>40</v>
      </c>
      <c r="O26" s="4" t="s">
        <v>10</v>
      </c>
      <c r="P26" s="4">
        <v>-1</v>
      </c>
    </row>
    <row r="27" spans="1:16" x14ac:dyDescent="0.55000000000000004">
      <c r="A27" s="4">
        <v>2016</v>
      </c>
      <c r="B27" s="4" t="s">
        <v>115</v>
      </c>
      <c r="C27" s="5" t="s">
        <v>47</v>
      </c>
      <c r="D27" s="4" t="s">
        <v>56</v>
      </c>
      <c r="E27" s="5" t="s">
        <v>55</v>
      </c>
      <c r="F27" s="4" t="s">
        <v>60</v>
      </c>
      <c r="G27" s="5" t="s">
        <v>65</v>
      </c>
      <c r="H27" s="4" t="s">
        <v>76</v>
      </c>
      <c r="I27" s="5" t="s">
        <v>72</v>
      </c>
      <c r="J27" s="4">
        <v>300</v>
      </c>
      <c r="K27" s="4">
        <v>60</v>
      </c>
      <c r="L27" s="4">
        <v>60</v>
      </c>
      <c r="M27" s="4">
        <v>40</v>
      </c>
      <c r="N27" s="4">
        <v>40</v>
      </c>
      <c r="O27" s="4" t="s">
        <v>10</v>
      </c>
      <c r="P27" s="4">
        <v>-1</v>
      </c>
    </row>
    <row r="28" spans="1:16" x14ac:dyDescent="0.55000000000000004">
      <c r="A28" s="4">
        <v>2017</v>
      </c>
      <c r="B28" s="4" t="s">
        <v>113</v>
      </c>
      <c r="C28" s="5" t="s">
        <v>41</v>
      </c>
      <c r="D28" s="4" t="s">
        <v>56</v>
      </c>
      <c r="E28" s="5" t="s">
        <v>55</v>
      </c>
      <c r="F28" s="4" t="s">
        <v>62</v>
      </c>
      <c r="G28" s="5" t="s">
        <v>67</v>
      </c>
      <c r="H28" s="4" t="s">
        <v>74</v>
      </c>
      <c r="I28" s="5" t="s">
        <v>70</v>
      </c>
      <c r="J28" s="4">
        <v>300</v>
      </c>
      <c r="K28" s="4">
        <v>60</v>
      </c>
      <c r="L28" s="4">
        <v>60</v>
      </c>
      <c r="M28" s="4">
        <v>40</v>
      </c>
      <c r="N28" s="4">
        <v>40</v>
      </c>
      <c r="O28" s="4" t="s">
        <v>10</v>
      </c>
      <c r="P28" s="4">
        <v>-1</v>
      </c>
    </row>
    <row r="29" spans="1:16" x14ac:dyDescent="0.55000000000000004">
      <c r="A29" s="4">
        <v>2018</v>
      </c>
      <c r="B29" s="4" t="s">
        <v>108</v>
      </c>
      <c r="C29" s="5" t="s">
        <v>37</v>
      </c>
      <c r="D29" s="4" t="s">
        <v>56</v>
      </c>
      <c r="E29" s="5" t="s">
        <v>55</v>
      </c>
      <c r="F29" s="4" t="s">
        <v>60</v>
      </c>
      <c r="G29" s="5" t="s">
        <v>65</v>
      </c>
      <c r="H29" s="4" t="s">
        <v>76</v>
      </c>
      <c r="I29" s="5" t="s">
        <v>72</v>
      </c>
      <c r="J29" s="4">
        <v>300</v>
      </c>
      <c r="K29" s="4">
        <v>60</v>
      </c>
      <c r="L29" s="4">
        <v>60</v>
      </c>
      <c r="M29" s="4">
        <v>40</v>
      </c>
      <c r="N29" s="4">
        <v>40</v>
      </c>
      <c r="O29" s="4" t="s">
        <v>10</v>
      </c>
      <c r="P29" s="4">
        <v>-1</v>
      </c>
    </row>
    <row r="30" spans="1:16" x14ac:dyDescent="0.55000000000000004">
      <c r="A30" s="4">
        <v>2019</v>
      </c>
      <c r="B30" s="4" t="s">
        <v>116</v>
      </c>
      <c r="C30" s="5" t="s">
        <v>54</v>
      </c>
      <c r="D30" s="4" t="s">
        <v>56</v>
      </c>
      <c r="E30" s="5" t="s">
        <v>55</v>
      </c>
      <c r="F30" s="4" t="s">
        <v>59</v>
      </c>
      <c r="G30" s="5" t="s">
        <v>64</v>
      </c>
      <c r="H30" s="4" t="s">
        <v>76</v>
      </c>
      <c r="I30" s="5" t="s">
        <v>72</v>
      </c>
      <c r="J30" s="4">
        <v>300</v>
      </c>
      <c r="K30" s="4">
        <v>60</v>
      </c>
      <c r="L30" s="4">
        <v>60</v>
      </c>
      <c r="M30" s="4">
        <v>40</v>
      </c>
      <c r="N30" s="4">
        <v>40</v>
      </c>
      <c r="O30" s="4" t="s">
        <v>10</v>
      </c>
      <c r="P30" s="4">
        <v>-1</v>
      </c>
    </row>
    <row r="31" spans="1:16" x14ac:dyDescent="0.55000000000000004">
      <c r="A31" s="6">
        <v>3001</v>
      </c>
      <c r="B31" s="6" t="s">
        <v>124</v>
      </c>
      <c r="C31" s="7" t="s">
        <v>79</v>
      </c>
      <c r="D31" s="6" t="s">
        <v>93</v>
      </c>
      <c r="E31" s="7" t="s">
        <v>92</v>
      </c>
      <c r="F31" s="6" t="s">
        <v>59</v>
      </c>
      <c r="G31" s="7" t="s">
        <v>64</v>
      </c>
      <c r="H31" s="6" t="s">
        <v>74</v>
      </c>
      <c r="I31" s="7" t="s">
        <v>70</v>
      </c>
      <c r="J31" s="6">
        <v>500</v>
      </c>
      <c r="K31" s="6">
        <v>100</v>
      </c>
      <c r="L31" s="6">
        <v>100</v>
      </c>
      <c r="M31" s="6">
        <v>70</v>
      </c>
      <c r="N31" s="6">
        <v>70</v>
      </c>
      <c r="O31" s="6" t="s">
        <v>10</v>
      </c>
      <c r="P31" s="6">
        <v>-1</v>
      </c>
    </row>
    <row r="32" spans="1:16" x14ac:dyDescent="0.55000000000000004">
      <c r="A32" s="6">
        <v>3002</v>
      </c>
      <c r="B32" s="6" t="s">
        <v>129</v>
      </c>
      <c r="C32" s="7" t="s">
        <v>80</v>
      </c>
      <c r="D32" s="6" t="s">
        <v>93</v>
      </c>
      <c r="E32" s="7" t="s">
        <v>92</v>
      </c>
      <c r="F32" s="6" t="s">
        <v>59</v>
      </c>
      <c r="G32" s="7" t="s">
        <v>64</v>
      </c>
      <c r="H32" s="6" t="s">
        <v>77</v>
      </c>
      <c r="I32" s="7" t="s">
        <v>73</v>
      </c>
      <c r="J32" s="6">
        <v>500</v>
      </c>
      <c r="K32" s="6">
        <v>100</v>
      </c>
      <c r="L32" s="6">
        <v>100</v>
      </c>
      <c r="M32" s="6">
        <v>70</v>
      </c>
      <c r="N32" s="6">
        <v>70</v>
      </c>
      <c r="O32" s="6" t="s">
        <v>10</v>
      </c>
      <c r="P32" s="6">
        <v>-1</v>
      </c>
    </row>
    <row r="33" spans="1:16" x14ac:dyDescent="0.55000000000000004">
      <c r="A33" s="6">
        <v>3003</v>
      </c>
      <c r="B33" s="6" t="s">
        <v>125</v>
      </c>
      <c r="C33" s="7" t="s">
        <v>81</v>
      </c>
      <c r="D33" s="6" t="s">
        <v>93</v>
      </c>
      <c r="E33" s="7" t="s">
        <v>92</v>
      </c>
      <c r="F33" s="6" t="s">
        <v>59</v>
      </c>
      <c r="G33" s="7" t="s">
        <v>64</v>
      </c>
      <c r="H33" s="6" t="s">
        <v>76</v>
      </c>
      <c r="I33" s="7" t="s">
        <v>72</v>
      </c>
      <c r="J33" s="6">
        <v>500</v>
      </c>
      <c r="K33" s="6">
        <v>100</v>
      </c>
      <c r="L33" s="6">
        <v>100</v>
      </c>
      <c r="M33" s="6">
        <v>70</v>
      </c>
      <c r="N33" s="6">
        <v>70</v>
      </c>
      <c r="O33" s="6" t="s">
        <v>10</v>
      </c>
      <c r="P33" s="6">
        <v>-1</v>
      </c>
    </row>
    <row r="34" spans="1:16" x14ac:dyDescent="0.55000000000000004">
      <c r="A34" s="6">
        <v>3004</v>
      </c>
      <c r="B34" s="6" t="s">
        <v>130</v>
      </c>
      <c r="C34" s="7" t="s">
        <v>94</v>
      </c>
      <c r="D34" s="6" t="s">
        <v>93</v>
      </c>
      <c r="E34" s="7" t="s">
        <v>92</v>
      </c>
      <c r="F34" s="6" t="s">
        <v>59</v>
      </c>
      <c r="G34" s="7" t="s">
        <v>64</v>
      </c>
      <c r="H34" s="6" t="s">
        <v>76</v>
      </c>
      <c r="I34" s="7" t="s">
        <v>72</v>
      </c>
      <c r="J34" s="6">
        <v>500</v>
      </c>
      <c r="K34" s="6">
        <v>100</v>
      </c>
      <c r="L34" s="6">
        <v>100</v>
      </c>
      <c r="M34" s="6">
        <v>70</v>
      </c>
      <c r="N34" s="6">
        <v>70</v>
      </c>
      <c r="O34" s="6" t="s">
        <v>10</v>
      </c>
      <c r="P34" s="6">
        <v>-1</v>
      </c>
    </row>
    <row r="35" spans="1:16" x14ac:dyDescent="0.55000000000000004">
      <c r="A35" s="6">
        <v>3007</v>
      </c>
      <c r="B35" s="6" t="s">
        <v>137</v>
      </c>
      <c r="C35" s="7" t="s">
        <v>90</v>
      </c>
      <c r="D35" s="6" t="s">
        <v>93</v>
      </c>
      <c r="E35" s="7" t="s">
        <v>92</v>
      </c>
      <c r="F35" s="6" t="s">
        <v>60</v>
      </c>
      <c r="G35" s="7" t="s">
        <v>65</v>
      </c>
      <c r="H35" s="6" t="s">
        <v>75</v>
      </c>
      <c r="I35" s="7" t="s">
        <v>71</v>
      </c>
      <c r="J35" s="6">
        <v>500</v>
      </c>
      <c r="K35" s="6">
        <v>100</v>
      </c>
      <c r="L35" s="6">
        <v>100</v>
      </c>
      <c r="M35" s="6">
        <v>70</v>
      </c>
      <c r="N35" s="6">
        <v>70</v>
      </c>
      <c r="O35" s="6" t="s">
        <v>10</v>
      </c>
      <c r="P35" s="6">
        <v>-1</v>
      </c>
    </row>
    <row r="36" spans="1:16" x14ac:dyDescent="0.55000000000000004">
      <c r="A36" s="6">
        <v>3008</v>
      </c>
      <c r="B36" s="6" t="s">
        <v>132</v>
      </c>
      <c r="C36" s="7" t="s">
        <v>86</v>
      </c>
      <c r="D36" s="6" t="s">
        <v>93</v>
      </c>
      <c r="E36" s="7" t="s">
        <v>92</v>
      </c>
      <c r="F36" s="6" t="s">
        <v>59</v>
      </c>
      <c r="G36" s="7" t="s">
        <v>64</v>
      </c>
      <c r="H36" s="6" t="s">
        <v>75</v>
      </c>
      <c r="I36" s="7" t="s">
        <v>71</v>
      </c>
      <c r="J36" s="6">
        <v>500</v>
      </c>
      <c r="K36" s="6">
        <v>100</v>
      </c>
      <c r="L36" s="6">
        <v>100</v>
      </c>
      <c r="M36" s="6">
        <v>70</v>
      </c>
      <c r="N36" s="6">
        <v>70</v>
      </c>
      <c r="O36" s="6" t="s">
        <v>10</v>
      </c>
      <c r="P36" s="6">
        <v>-1</v>
      </c>
    </row>
    <row r="37" spans="1:16" x14ac:dyDescent="0.55000000000000004">
      <c r="A37" s="6">
        <v>3009</v>
      </c>
      <c r="B37" s="6" t="s">
        <v>126</v>
      </c>
      <c r="C37" s="7" t="s">
        <v>87</v>
      </c>
      <c r="D37" s="6" t="s">
        <v>93</v>
      </c>
      <c r="E37" s="7" t="s">
        <v>92</v>
      </c>
      <c r="F37" s="6" t="s">
        <v>61</v>
      </c>
      <c r="G37" s="7" t="s">
        <v>66</v>
      </c>
      <c r="H37" s="6" t="s">
        <v>76</v>
      </c>
      <c r="I37" s="7" t="s">
        <v>72</v>
      </c>
      <c r="J37" s="6">
        <v>500</v>
      </c>
      <c r="K37" s="6">
        <v>100</v>
      </c>
      <c r="L37" s="6">
        <v>100</v>
      </c>
      <c r="M37" s="6">
        <v>70</v>
      </c>
      <c r="N37" s="6">
        <v>70</v>
      </c>
      <c r="O37" s="6" t="s">
        <v>10</v>
      </c>
      <c r="P37" s="6">
        <v>-1</v>
      </c>
    </row>
    <row r="38" spans="1:16" x14ac:dyDescent="0.55000000000000004">
      <c r="A38" s="6">
        <v>3010</v>
      </c>
      <c r="B38" s="6" t="s">
        <v>135</v>
      </c>
      <c r="C38" s="7" t="s">
        <v>88</v>
      </c>
      <c r="D38" s="6" t="s">
        <v>93</v>
      </c>
      <c r="E38" s="7" t="s">
        <v>92</v>
      </c>
      <c r="F38" s="6" t="s">
        <v>62</v>
      </c>
      <c r="G38" s="7" t="s">
        <v>67</v>
      </c>
      <c r="H38" s="6" t="s">
        <v>74</v>
      </c>
      <c r="I38" s="7" t="s">
        <v>70</v>
      </c>
      <c r="J38" s="6">
        <v>500</v>
      </c>
      <c r="K38" s="6">
        <v>100</v>
      </c>
      <c r="L38" s="6">
        <v>100</v>
      </c>
      <c r="M38" s="6">
        <v>70</v>
      </c>
      <c r="N38" s="6">
        <v>70</v>
      </c>
      <c r="O38" s="6" t="s">
        <v>10</v>
      </c>
      <c r="P38" s="6">
        <v>-1</v>
      </c>
    </row>
    <row r="39" spans="1:16" x14ac:dyDescent="0.55000000000000004">
      <c r="A39" s="6">
        <v>3011</v>
      </c>
      <c r="B39" s="6" t="s">
        <v>127</v>
      </c>
      <c r="C39" s="7" t="s">
        <v>82</v>
      </c>
      <c r="D39" s="6" t="s">
        <v>93</v>
      </c>
      <c r="E39" s="7" t="s">
        <v>92</v>
      </c>
      <c r="F39" s="6" t="s">
        <v>62</v>
      </c>
      <c r="G39" s="7" t="s">
        <v>67</v>
      </c>
      <c r="H39" s="6" t="s">
        <v>76</v>
      </c>
      <c r="I39" s="7" t="s">
        <v>72</v>
      </c>
      <c r="J39" s="6">
        <v>500</v>
      </c>
      <c r="K39" s="6">
        <v>100</v>
      </c>
      <c r="L39" s="6">
        <v>100</v>
      </c>
      <c r="M39" s="6">
        <v>70</v>
      </c>
      <c r="N39" s="6">
        <v>70</v>
      </c>
      <c r="O39" s="6" t="s">
        <v>10</v>
      </c>
      <c r="P39" s="6">
        <v>-1</v>
      </c>
    </row>
    <row r="40" spans="1:16" x14ac:dyDescent="0.55000000000000004">
      <c r="A40" s="6">
        <v>3012</v>
      </c>
      <c r="B40" s="6" t="s">
        <v>128</v>
      </c>
      <c r="C40" s="7" t="s">
        <v>83</v>
      </c>
      <c r="D40" s="6" t="s">
        <v>93</v>
      </c>
      <c r="E40" s="7" t="s">
        <v>92</v>
      </c>
      <c r="F40" s="6" t="s">
        <v>63</v>
      </c>
      <c r="G40" s="7" t="s">
        <v>68</v>
      </c>
      <c r="H40" s="6" t="s">
        <v>74</v>
      </c>
      <c r="I40" s="7" t="s">
        <v>70</v>
      </c>
      <c r="J40" s="6">
        <v>500</v>
      </c>
      <c r="K40" s="6">
        <v>100</v>
      </c>
      <c r="L40" s="6">
        <v>100</v>
      </c>
      <c r="M40" s="6">
        <v>70</v>
      </c>
      <c r="N40" s="6">
        <v>70</v>
      </c>
      <c r="O40" s="6" t="s">
        <v>10</v>
      </c>
      <c r="P40" s="6">
        <v>-1</v>
      </c>
    </row>
    <row r="41" spans="1:16" x14ac:dyDescent="0.55000000000000004">
      <c r="A41" s="6">
        <v>3013</v>
      </c>
      <c r="B41" s="6" t="s">
        <v>131</v>
      </c>
      <c r="C41" s="7" t="s">
        <v>78</v>
      </c>
      <c r="D41" s="6" t="s">
        <v>93</v>
      </c>
      <c r="E41" s="7" t="s">
        <v>92</v>
      </c>
      <c r="F41" s="6" t="s">
        <v>62</v>
      </c>
      <c r="G41" s="7" t="s">
        <v>67</v>
      </c>
      <c r="H41" s="6" t="s">
        <v>74</v>
      </c>
      <c r="I41" s="7" t="s">
        <v>70</v>
      </c>
      <c r="J41" s="6">
        <v>500</v>
      </c>
      <c r="K41" s="6">
        <v>100</v>
      </c>
      <c r="L41" s="6">
        <v>100</v>
      </c>
      <c r="M41" s="6">
        <v>70</v>
      </c>
      <c r="N41" s="6">
        <v>70</v>
      </c>
      <c r="O41" s="6" t="s">
        <v>10</v>
      </c>
      <c r="P41" s="6">
        <v>-1</v>
      </c>
    </row>
    <row r="42" spans="1:16" x14ac:dyDescent="0.55000000000000004">
      <c r="A42" s="6">
        <v>3014</v>
      </c>
      <c r="B42" s="6" t="s">
        <v>133</v>
      </c>
      <c r="C42" s="7" t="s">
        <v>85</v>
      </c>
      <c r="D42" s="6" t="s">
        <v>93</v>
      </c>
      <c r="E42" s="7" t="s">
        <v>92</v>
      </c>
      <c r="F42" s="6" t="s">
        <v>60</v>
      </c>
      <c r="G42" s="7" t="s">
        <v>65</v>
      </c>
      <c r="H42" s="6" t="s">
        <v>77</v>
      </c>
      <c r="I42" s="7" t="s">
        <v>73</v>
      </c>
      <c r="J42" s="6">
        <v>500</v>
      </c>
      <c r="K42" s="6">
        <v>100</v>
      </c>
      <c r="L42" s="6">
        <v>100</v>
      </c>
      <c r="M42" s="6">
        <v>70</v>
      </c>
      <c r="N42" s="6">
        <v>70</v>
      </c>
      <c r="O42" s="6" t="s">
        <v>10</v>
      </c>
      <c r="P42" s="6">
        <v>-1</v>
      </c>
    </row>
    <row r="43" spans="1:16" x14ac:dyDescent="0.55000000000000004">
      <c r="A43" s="6">
        <v>3015</v>
      </c>
      <c r="B43" s="6" t="s">
        <v>136</v>
      </c>
      <c r="C43" s="7" t="s">
        <v>89</v>
      </c>
      <c r="D43" s="6" t="s">
        <v>93</v>
      </c>
      <c r="E43" s="7" t="s">
        <v>92</v>
      </c>
      <c r="F43" s="6" t="s">
        <v>62</v>
      </c>
      <c r="G43" s="7" t="s">
        <v>67</v>
      </c>
      <c r="H43" s="6" t="s">
        <v>75</v>
      </c>
      <c r="I43" s="7" t="s">
        <v>71</v>
      </c>
      <c r="J43" s="6">
        <v>500</v>
      </c>
      <c r="K43" s="6">
        <v>100</v>
      </c>
      <c r="L43" s="6">
        <v>100</v>
      </c>
      <c r="M43" s="6">
        <v>70</v>
      </c>
      <c r="N43" s="6">
        <v>70</v>
      </c>
      <c r="O43" s="6" t="s">
        <v>10</v>
      </c>
      <c r="P43" s="6">
        <v>-1</v>
      </c>
    </row>
    <row r="44" spans="1:16" x14ac:dyDescent="0.55000000000000004">
      <c r="A44" s="6">
        <v>3016</v>
      </c>
      <c r="B44" s="6" t="s">
        <v>138</v>
      </c>
      <c r="C44" s="7" t="s">
        <v>91</v>
      </c>
      <c r="D44" s="6" t="s">
        <v>93</v>
      </c>
      <c r="E44" s="7" t="s">
        <v>92</v>
      </c>
      <c r="F44" s="6" t="s">
        <v>60</v>
      </c>
      <c r="G44" s="7" t="s">
        <v>65</v>
      </c>
      <c r="H44" s="6" t="s">
        <v>74</v>
      </c>
      <c r="I44" s="7" t="s">
        <v>70</v>
      </c>
      <c r="J44" s="6">
        <v>500</v>
      </c>
      <c r="K44" s="6">
        <v>100</v>
      </c>
      <c r="L44" s="6">
        <v>100</v>
      </c>
      <c r="M44" s="6">
        <v>70</v>
      </c>
      <c r="N44" s="6">
        <v>70</v>
      </c>
      <c r="O44" s="6" t="s">
        <v>10</v>
      </c>
      <c r="P44" s="6">
        <v>-1</v>
      </c>
    </row>
    <row r="45" spans="1:16" x14ac:dyDescent="0.55000000000000004">
      <c r="A45" s="6">
        <v>3017</v>
      </c>
      <c r="B45" s="6" t="s">
        <v>134</v>
      </c>
      <c r="C45" s="7" t="s">
        <v>84</v>
      </c>
      <c r="D45" s="6" t="s">
        <v>93</v>
      </c>
      <c r="E45" s="7" t="s">
        <v>92</v>
      </c>
      <c r="F45" s="6" t="s">
        <v>63</v>
      </c>
      <c r="G45" s="7" t="s">
        <v>68</v>
      </c>
      <c r="H45" s="6" t="s">
        <v>75</v>
      </c>
      <c r="I45" s="7" t="s">
        <v>71</v>
      </c>
      <c r="J45" s="6">
        <v>500</v>
      </c>
      <c r="K45" s="6">
        <v>100</v>
      </c>
      <c r="L45" s="6">
        <v>100</v>
      </c>
      <c r="M45" s="6">
        <v>70</v>
      </c>
      <c r="N45" s="6">
        <v>70</v>
      </c>
      <c r="O45" s="6" t="s">
        <v>10</v>
      </c>
      <c r="P45" s="6">
        <v>-1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12-2F3A-4585-9048-DC033A32B8BC}">
  <dimension ref="A1:R47"/>
  <sheetViews>
    <sheetView tabSelected="1" workbookViewId="0">
      <selection activeCell="J2" sqref="J2:N11"/>
    </sheetView>
  </sheetViews>
  <sheetFormatPr defaultRowHeight="17.600000000000001" x14ac:dyDescent="0.55000000000000004"/>
  <cols>
    <col min="15" max="15" width="15.5703125" customWidth="1"/>
  </cols>
  <sheetData>
    <row r="1" spans="1:18" x14ac:dyDescent="0.55000000000000004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58</v>
      </c>
      <c r="H1" t="s">
        <v>30</v>
      </c>
      <c r="I1" t="s">
        <v>69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0</v>
      </c>
      <c r="P1" t="s">
        <v>143</v>
      </c>
      <c r="Q1" t="s">
        <v>140</v>
      </c>
      <c r="R1" t="s">
        <v>139</v>
      </c>
    </row>
    <row r="2" spans="1:18" x14ac:dyDescent="0.55000000000000004">
      <c r="A2" s="2">
        <v>5001</v>
      </c>
      <c r="B2" s="2" t="s">
        <v>95</v>
      </c>
      <c r="C2" s="3" t="s">
        <v>11</v>
      </c>
      <c r="D2" s="2" t="s">
        <v>23</v>
      </c>
      <c r="E2" s="3" t="s">
        <v>22</v>
      </c>
      <c r="F2" s="2" t="s">
        <v>21</v>
      </c>
      <c r="G2" s="3" t="s">
        <v>57</v>
      </c>
      <c r="H2" s="3" t="s">
        <v>21</v>
      </c>
      <c r="I2" s="3" t="s">
        <v>57</v>
      </c>
      <c r="J2" s="2">
        <v>150</v>
      </c>
      <c r="K2" s="2">
        <v>30</v>
      </c>
      <c r="L2" s="2">
        <v>30</v>
      </c>
      <c r="M2" s="2">
        <v>20</v>
      </c>
      <c r="N2" s="2">
        <v>20</v>
      </c>
      <c r="O2" s="2" t="s">
        <v>10</v>
      </c>
      <c r="P2" s="2">
        <v>-1</v>
      </c>
      <c r="Q2" s="2">
        <v>8</v>
      </c>
      <c r="R2" s="2">
        <f>1+2*(Q2-1)</f>
        <v>15</v>
      </c>
    </row>
    <row r="3" spans="1:18" x14ac:dyDescent="0.55000000000000004">
      <c r="A3" s="2">
        <v>5002</v>
      </c>
      <c r="B3" s="2" t="s">
        <v>96</v>
      </c>
      <c r="C3" s="3" t="s">
        <v>17</v>
      </c>
      <c r="D3" s="2" t="s">
        <v>23</v>
      </c>
      <c r="E3" s="3" t="s">
        <v>22</v>
      </c>
      <c r="F3" s="2" t="s">
        <v>21</v>
      </c>
      <c r="G3" s="3" t="s">
        <v>57</v>
      </c>
      <c r="H3" s="3" t="s">
        <v>21</v>
      </c>
      <c r="I3" s="3" t="s">
        <v>57</v>
      </c>
      <c r="J3" s="2">
        <v>150</v>
      </c>
      <c r="K3" s="2">
        <v>30</v>
      </c>
      <c r="L3" s="2">
        <v>30</v>
      </c>
      <c r="M3" s="2">
        <v>20</v>
      </c>
      <c r="N3" s="2">
        <v>20</v>
      </c>
      <c r="O3" s="2" t="s">
        <v>10</v>
      </c>
      <c r="P3" s="2">
        <v>-1</v>
      </c>
      <c r="Q3" s="2">
        <v>7</v>
      </c>
      <c r="R3" s="2">
        <f t="shared" ref="R3:R12" si="0">1+2*(Q3-1)</f>
        <v>13</v>
      </c>
    </row>
    <row r="4" spans="1:18" x14ac:dyDescent="0.55000000000000004">
      <c r="A4" s="2">
        <v>5003</v>
      </c>
      <c r="B4" s="2" t="s">
        <v>97</v>
      </c>
      <c r="C4" s="3" t="s">
        <v>13</v>
      </c>
      <c r="D4" s="2" t="s">
        <v>23</v>
      </c>
      <c r="E4" s="3" t="s">
        <v>22</v>
      </c>
      <c r="F4" s="2" t="s">
        <v>21</v>
      </c>
      <c r="G4" s="3" t="s">
        <v>57</v>
      </c>
      <c r="H4" s="3" t="s">
        <v>21</v>
      </c>
      <c r="I4" s="3" t="s">
        <v>57</v>
      </c>
      <c r="J4" s="2">
        <v>150</v>
      </c>
      <c r="K4" s="2">
        <v>30</v>
      </c>
      <c r="L4" s="2">
        <v>30</v>
      </c>
      <c r="M4" s="2">
        <v>20</v>
      </c>
      <c r="N4" s="2">
        <v>20</v>
      </c>
      <c r="O4" s="2" t="s">
        <v>10</v>
      </c>
      <c r="P4" s="2">
        <v>-1</v>
      </c>
      <c r="Q4" s="2">
        <v>6</v>
      </c>
      <c r="R4" s="2">
        <f t="shared" si="0"/>
        <v>11</v>
      </c>
    </row>
    <row r="5" spans="1:18" x14ac:dyDescent="0.55000000000000004">
      <c r="A5" s="2">
        <v>5004</v>
      </c>
      <c r="B5" s="2" t="s">
        <v>98</v>
      </c>
      <c r="C5" s="3" t="s">
        <v>14</v>
      </c>
      <c r="D5" s="2" t="s">
        <v>23</v>
      </c>
      <c r="E5" s="3" t="s">
        <v>22</v>
      </c>
      <c r="F5" s="2" t="s">
        <v>21</v>
      </c>
      <c r="G5" s="3" t="s">
        <v>57</v>
      </c>
      <c r="H5" s="3" t="s">
        <v>21</v>
      </c>
      <c r="I5" s="3" t="s">
        <v>57</v>
      </c>
      <c r="J5" s="2">
        <v>150</v>
      </c>
      <c r="K5" s="2">
        <v>30</v>
      </c>
      <c r="L5" s="2">
        <v>30</v>
      </c>
      <c r="M5" s="2">
        <v>20</v>
      </c>
      <c r="N5" s="2">
        <v>20</v>
      </c>
      <c r="O5" s="2" t="s">
        <v>10</v>
      </c>
      <c r="P5" s="2">
        <v>-1</v>
      </c>
      <c r="Q5" s="2">
        <v>9</v>
      </c>
      <c r="R5" s="2">
        <f t="shared" si="0"/>
        <v>17</v>
      </c>
    </row>
    <row r="6" spans="1:18" x14ac:dyDescent="0.55000000000000004">
      <c r="A6" s="2">
        <v>5005</v>
      </c>
      <c r="B6" s="2" t="s">
        <v>100</v>
      </c>
      <c r="C6" s="3" t="s">
        <v>15</v>
      </c>
      <c r="D6" s="2" t="s">
        <v>23</v>
      </c>
      <c r="E6" s="3" t="s">
        <v>22</v>
      </c>
      <c r="F6" s="2" t="s">
        <v>21</v>
      </c>
      <c r="G6" s="3" t="s">
        <v>57</v>
      </c>
      <c r="H6" s="3" t="s">
        <v>21</v>
      </c>
      <c r="I6" s="3" t="s">
        <v>57</v>
      </c>
      <c r="J6" s="2">
        <v>150</v>
      </c>
      <c r="K6" s="2">
        <v>30</v>
      </c>
      <c r="L6" s="2">
        <v>30</v>
      </c>
      <c r="M6" s="2">
        <v>20</v>
      </c>
      <c r="N6" s="2">
        <v>20</v>
      </c>
      <c r="O6" s="2" t="s">
        <v>10</v>
      </c>
      <c r="P6" s="2">
        <v>-1</v>
      </c>
      <c r="Q6" s="2">
        <v>5</v>
      </c>
      <c r="R6" s="2">
        <f t="shared" si="0"/>
        <v>9</v>
      </c>
    </row>
    <row r="7" spans="1:18" x14ac:dyDescent="0.55000000000000004">
      <c r="A7" s="2">
        <v>5006</v>
      </c>
      <c r="B7" s="2" t="s">
        <v>99</v>
      </c>
      <c r="C7" s="3" t="s">
        <v>16</v>
      </c>
      <c r="D7" s="2" t="s">
        <v>23</v>
      </c>
      <c r="E7" s="3" t="s">
        <v>22</v>
      </c>
      <c r="F7" s="2" t="s">
        <v>21</v>
      </c>
      <c r="G7" s="3" t="s">
        <v>57</v>
      </c>
      <c r="H7" s="3" t="s">
        <v>21</v>
      </c>
      <c r="I7" s="3" t="s">
        <v>57</v>
      </c>
      <c r="J7" s="2">
        <v>150</v>
      </c>
      <c r="K7" s="2">
        <v>30</v>
      </c>
      <c r="L7" s="2">
        <v>30</v>
      </c>
      <c r="M7" s="2">
        <v>20</v>
      </c>
      <c r="N7" s="2">
        <v>20</v>
      </c>
      <c r="O7" s="2" t="s">
        <v>10</v>
      </c>
      <c r="P7" s="2">
        <v>-1</v>
      </c>
      <c r="Q7" s="2">
        <v>4</v>
      </c>
      <c r="R7" s="2">
        <f t="shared" si="0"/>
        <v>7</v>
      </c>
    </row>
    <row r="8" spans="1:18" x14ac:dyDescent="0.55000000000000004">
      <c r="A8" s="2">
        <v>5007</v>
      </c>
      <c r="B8" s="2" t="s">
        <v>104</v>
      </c>
      <c r="C8" s="3" t="s">
        <v>19</v>
      </c>
      <c r="D8" s="2" t="s">
        <v>23</v>
      </c>
      <c r="E8" s="3" t="s">
        <v>22</v>
      </c>
      <c r="F8" s="2" t="s">
        <v>21</v>
      </c>
      <c r="G8" s="3" t="s">
        <v>57</v>
      </c>
      <c r="H8" s="3" t="s">
        <v>21</v>
      </c>
      <c r="I8" s="3" t="s">
        <v>57</v>
      </c>
      <c r="J8" s="2">
        <v>150</v>
      </c>
      <c r="K8" s="2">
        <v>30</v>
      </c>
      <c r="L8" s="2">
        <v>30</v>
      </c>
      <c r="M8" s="2">
        <v>20</v>
      </c>
      <c r="N8" s="2">
        <v>20</v>
      </c>
      <c r="O8" s="2" t="s">
        <v>10</v>
      </c>
      <c r="P8" s="2">
        <v>-1</v>
      </c>
      <c r="Q8" s="2">
        <v>2</v>
      </c>
      <c r="R8" s="2">
        <f t="shared" si="0"/>
        <v>3</v>
      </c>
    </row>
    <row r="9" spans="1:18" x14ac:dyDescent="0.55000000000000004">
      <c r="A9" s="2">
        <v>5008</v>
      </c>
      <c r="B9" s="2" t="s">
        <v>101</v>
      </c>
      <c r="C9" s="3" t="s">
        <v>20</v>
      </c>
      <c r="D9" s="2" t="s">
        <v>23</v>
      </c>
      <c r="E9" s="3" t="s">
        <v>22</v>
      </c>
      <c r="F9" s="2" t="s">
        <v>21</v>
      </c>
      <c r="G9" s="3" t="s">
        <v>57</v>
      </c>
      <c r="H9" s="3" t="s">
        <v>21</v>
      </c>
      <c r="I9" s="3" t="s">
        <v>57</v>
      </c>
      <c r="J9" s="2">
        <v>150</v>
      </c>
      <c r="K9" s="2">
        <v>30</v>
      </c>
      <c r="L9" s="2">
        <v>30</v>
      </c>
      <c r="M9" s="2">
        <v>20</v>
      </c>
      <c r="N9" s="2">
        <v>20</v>
      </c>
      <c r="O9" s="2" t="s">
        <v>10</v>
      </c>
      <c r="P9" s="2">
        <v>-1</v>
      </c>
      <c r="Q9" s="2">
        <v>1</v>
      </c>
      <c r="R9" s="2">
        <f t="shared" si="0"/>
        <v>1</v>
      </c>
    </row>
    <row r="10" spans="1:18" x14ac:dyDescent="0.55000000000000004">
      <c r="A10" s="2">
        <v>5009</v>
      </c>
      <c r="B10" s="2" t="s">
        <v>103</v>
      </c>
      <c r="C10" s="3" t="s">
        <v>18</v>
      </c>
      <c r="D10" s="2" t="s">
        <v>23</v>
      </c>
      <c r="E10" s="3" t="s">
        <v>22</v>
      </c>
      <c r="F10" s="2" t="s">
        <v>21</v>
      </c>
      <c r="G10" s="3" t="s">
        <v>57</v>
      </c>
      <c r="H10" s="3" t="s">
        <v>21</v>
      </c>
      <c r="I10" s="3" t="s">
        <v>57</v>
      </c>
      <c r="J10" s="2">
        <v>150</v>
      </c>
      <c r="K10" s="2">
        <v>30</v>
      </c>
      <c r="L10" s="2">
        <v>30</v>
      </c>
      <c r="M10" s="2">
        <v>20</v>
      </c>
      <c r="N10" s="2">
        <v>20</v>
      </c>
      <c r="O10" s="2" t="s">
        <v>10</v>
      </c>
      <c r="P10" s="2">
        <v>-1</v>
      </c>
      <c r="Q10" s="2">
        <v>9</v>
      </c>
      <c r="R10" s="2">
        <f t="shared" si="0"/>
        <v>17</v>
      </c>
    </row>
    <row r="11" spans="1:18" x14ac:dyDescent="0.55000000000000004">
      <c r="A11" s="2">
        <v>5010</v>
      </c>
      <c r="B11" s="2" t="s">
        <v>102</v>
      </c>
      <c r="C11" s="3" t="s">
        <v>12</v>
      </c>
      <c r="D11" s="2" t="s">
        <v>23</v>
      </c>
      <c r="E11" s="3" t="s">
        <v>22</v>
      </c>
      <c r="F11" s="2" t="s">
        <v>21</v>
      </c>
      <c r="G11" s="3" t="s">
        <v>57</v>
      </c>
      <c r="H11" s="3" t="s">
        <v>21</v>
      </c>
      <c r="I11" s="3" t="s">
        <v>57</v>
      </c>
      <c r="J11" s="2">
        <v>150</v>
      </c>
      <c r="K11" s="2">
        <v>30</v>
      </c>
      <c r="L11" s="2">
        <v>30</v>
      </c>
      <c r="M11" s="2">
        <v>20</v>
      </c>
      <c r="N11" s="2">
        <v>20</v>
      </c>
      <c r="O11" s="2" t="s">
        <v>10</v>
      </c>
      <c r="P11" s="2">
        <v>-1</v>
      </c>
      <c r="Q11" s="2">
        <v>3</v>
      </c>
      <c r="R11" s="2">
        <f t="shared" si="0"/>
        <v>5</v>
      </c>
    </row>
    <row r="12" spans="1:18" x14ac:dyDescent="0.55000000000000004">
      <c r="A12" s="4">
        <v>6001</v>
      </c>
      <c r="B12" s="4" t="s">
        <v>105</v>
      </c>
      <c r="C12" s="5" t="s">
        <v>39</v>
      </c>
      <c r="D12" s="4" t="s">
        <v>56</v>
      </c>
      <c r="E12" s="5" t="s">
        <v>55</v>
      </c>
      <c r="F12" s="4" t="s">
        <v>59</v>
      </c>
      <c r="G12" s="5" t="s">
        <v>64</v>
      </c>
      <c r="H12" s="4" t="s">
        <v>74</v>
      </c>
      <c r="I12" s="5" t="s">
        <v>70</v>
      </c>
      <c r="J12" s="4">
        <v>300</v>
      </c>
      <c r="K12" s="4">
        <v>60</v>
      </c>
      <c r="L12" s="4">
        <v>60</v>
      </c>
      <c r="M12" s="4">
        <v>40</v>
      </c>
      <c r="N12" s="4">
        <v>40</v>
      </c>
      <c r="O12" s="4" t="s">
        <v>10</v>
      </c>
      <c r="P12" s="4">
        <v>-1</v>
      </c>
      <c r="Q12" s="4">
        <v>11</v>
      </c>
      <c r="R12" s="4">
        <f t="shared" si="0"/>
        <v>21</v>
      </c>
    </row>
    <row r="13" spans="1:18" x14ac:dyDescent="0.55000000000000004">
      <c r="A13" s="4">
        <v>6002</v>
      </c>
      <c r="B13" s="4" t="s">
        <v>109</v>
      </c>
      <c r="C13" s="5" t="s">
        <v>40</v>
      </c>
      <c r="D13" s="4" t="s">
        <v>56</v>
      </c>
      <c r="E13" s="5" t="s">
        <v>55</v>
      </c>
      <c r="F13" s="4" t="s">
        <v>60</v>
      </c>
      <c r="G13" s="5" t="s">
        <v>65</v>
      </c>
      <c r="H13" s="4" t="s">
        <v>75</v>
      </c>
      <c r="I13" s="5" t="s">
        <v>71</v>
      </c>
      <c r="J13" s="4">
        <v>300</v>
      </c>
      <c r="K13" s="4">
        <v>60</v>
      </c>
      <c r="L13" s="4">
        <v>60</v>
      </c>
      <c r="M13" s="4">
        <v>40</v>
      </c>
      <c r="N13" s="4">
        <v>40</v>
      </c>
      <c r="O13" s="4" t="s">
        <v>10</v>
      </c>
      <c r="P13" s="4">
        <v>-1</v>
      </c>
      <c r="Q13" s="4">
        <v>11</v>
      </c>
      <c r="R13" s="4">
        <f t="shared" ref="R13:R47" si="1">1+2*(Q13-1)</f>
        <v>21</v>
      </c>
    </row>
    <row r="14" spans="1:18" x14ac:dyDescent="0.55000000000000004">
      <c r="A14" s="4">
        <v>6003</v>
      </c>
      <c r="B14" s="4" t="s">
        <v>118</v>
      </c>
      <c r="C14" s="5" t="s">
        <v>42</v>
      </c>
      <c r="D14" s="4" t="s">
        <v>56</v>
      </c>
      <c r="E14" s="5" t="s">
        <v>55</v>
      </c>
      <c r="F14" s="4" t="s">
        <v>60</v>
      </c>
      <c r="G14" s="5" t="s">
        <v>65</v>
      </c>
      <c r="H14" s="4" t="s">
        <v>76</v>
      </c>
      <c r="I14" s="5" t="s">
        <v>72</v>
      </c>
      <c r="J14" s="4">
        <v>300</v>
      </c>
      <c r="K14" s="4">
        <v>60</v>
      </c>
      <c r="L14" s="4">
        <v>60</v>
      </c>
      <c r="M14" s="4">
        <v>40</v>
      </c>
      <c r="N14" s="4">
        <v>40</v>
      </c>
      <c r="O14" s="4" t="s">
        <v>10</v>
      </c>
      <c r="P14" s="4">
        <v>-1</v>
      </c>
      <c r="Q14" s="4">
        <v>11</v>
      </c>
      <c r="R14" s="4">
        <f t="shared" si="1"/>
        <v>21</v>
      </c>
    </row>
    <row r="15" spans="1:18" x14ac:dyDescent="0.55000000000000004">
      <c r="A15" s="4">
        <v>6004</v>
      </c>
      <c r="B15" s="4" t="s">
        <v>120</v>
      </c>
      <c r="C15" s="5" t="s">
        <v>45</v>
      </c>
      <c r="D15" s="4" t="s">
        <v>56</v>
      </c>
      <c r="E15" s="5" t="s">
        <v>55</v>
      </c>
      <c r="F15" s="4" t="s">
        <v>59</v>
      </c>
      <c r="G15" s="5" t="s">
        <v>64</v>
      </c>
      <c r="H15" s="4" t="s">
        <v>76</v>
      </c>
      <c r="I15" s="5" t="s">
        <v>72</v>
      </c>
      <c r="J15" s="4">
        <v>300</v>
      </c>
      <c r="K15" s="4">
        <v>60</v>
      </c>
      <c r="L15" s="4">
        <v>60</v>
      </c>
      <c r="M15" s="4">
        <v>40</v>
      </c>
      <c r="N15" s="4">
        <v>40</v>
      </c>
      <c r="O15" s="4" t="s">
        <v>10</v>
      </c>
      <c r="P15" s="4">
        <v>-1</v>
      </c>
      <c r="Q15" s="4">
        <v>11</v>
      </c>
      <c r="R15" s="4">
        <f t="shared" si="1"/>
        <v>21</v>
      </c>
    </row>
    <row r="16" spans="1:18" x14ac:dyDescent="0.55000000000000004">
      <c r="A16" s="4">
        <v>6005</v>
      </c>
      <c r="B16" s="4" t="s">
        <v>106</v>
      </c>
      <c r="C16" s="5" t="s">
        <v>50</v>
      </c>
      <c r="D16" s="4" t="s">
        <v>56</v>
      </c>
      <c r="E16" s="5" t="s">
        <v>55</v>
      </c>
      <c r="F16" s="4" t="s">
        <v>59</v>
      </c>
      <c r="G16" s="5" t="s">
        <v>64</v>
      </c>
      <c r="H16" s="4" t="s">
        <v>77</v>
      </c>
      <c r="I16" s="5" t="s">
        <v>73</v>
      </c>
      <c r="J16" s="4">
        <v>300</v>
      </c>
      <c r="K16" s="4">
        <v>60</v>
      </c>
      <c r="L16" s="4">
        <v>60</v>
      </c>
      <c r="M16" s="4">
        <v>40</v>
      </c>
      <c r="N16" s="4">
        <v>40</v>
      </c>
      <c r="O16" s="4" t="s">
        <v>10</v>
      </c>
      <c r="P16" s="4">
        <v>-1</v>
      </c>
      <c r="Q16" s="4">
        <v>11</v>
      </c>
      <c r="R16" s="4">
        <f t="shared" si="1"/>
        <v>21</v>
      </c>
    </row>
    <row r="17" spans="1:18" x14ac:dyDescent="0.55000000000000004">
      <c r="A17" s="4">
        <v>6006</v>
      </c>
      <c r="B17" s="4" t="s">
        <v>121</v>
      </c>
      <c r="C17" s="5" t="s">
        <v>48</v>
      </c>
      <c r="D17" s="4" t="s">
        <v>56</v>
      </c>
      <c r="E17" s="5" t="s">
        <v>55</v>
      </c>
      <c r="F17" s="4" t="s">
        <v>59</v>
      </c>
      <c r="G17" s="5" t="s">
        <v>64</v>
      </c>
      <c r="H17" s="4" t="s">
        <v>77</v>
      </c>
      <c r="I17" s="5" t="s">
        <v>73</v>
      </c>
      <c r="J17" s="4">
        <v>300</v>
      </c>
      <c r="K17" s="4">
        <v>60</v>
      </c>
      <c r="L17" s="4">
        <v>60</v>
      </c>
      <c r="M17" s="4">
        <v>40</v>
      </c>
      <c r="N17" s="4">
        <v>40</v>
      </c>
      <c r="O17" s="4" t="s">
        <v>10</v>
      </c>
      <c r="P17" s="4">
        <v>-1</v>
      </c>
      <c r="Q17" s="4">
        <v>11</v>
      </c>
      <c r="R17" s="4">
        <f t="shared" si="1"/>
        <v>21</v>
      </c>
    </row>
    <row r="18" spans="1:18" x14ac:dyDescent="0.55000000000000004">
      <c r="A18" s="4">
        <v>6007</v>
      </c>
      <c r="B18" s="4" t="s">
        <v>117</v>
      </c>
      <c r="C18" s="5" t="s">
        <v>49</v>
      </c>
      <c r="D18" s="4" t="s">
        <v>56</v>
      </c>
      <c r="E18" s="5" t="s">
        <v>55</v>
      </c>
      <c r="F18" s="4" t="s">
        <v>60</v>
      </c>
      <c r="G18" s="5" t="s">
        <v>65</v>
      </c>
      <c r="H18" s="4" t="s">
        <v>75</v>
      </c>
      <c r="I18" s="5" t="s">
        <v>71</v>
      </c>
      <c r="J18" s="4">
        <v>300</v>
      </c>
      <c r="K18" s="4">
        <v>60</v>
      </c>
      <c r="L18" s="4">
        <v>60</v>
      </c>
      <c r="M18" s="4">
        <v>40</v>
      </c>
      <c r="N18" s="4">
        <v>40</v>
      </c>
      <c r="O18" s="4" t="s">
        <v>10</v>
      </c>
      <c r="P18" s="4">
        <v>-1</v>
      </c>
      <c r="Q18" s="4">
        <v>11</v>
      </c>
      <c r="R18" s="4">
        <f t="shared" si="1"/>
        <v>21</v>
      </c>
    </row>
    <row r="19" spans="1:18" x14ac:dyDescent="0.55000000000000004">
      <c r="A19" s="4">
        <v>6008</v>
      </c>
      <c r="B19" s="4" t="s">
        <v>111</v>
      </c>
      <c r="C19" s="5" t="s">
        <v>51</v>
      </c>
      <c r="D19" s="4" t="s">
        <v>56</v>
      </c>
      <c r="E19" s="5" t="s">
        <v>55</v>
      </c>
      <c r="F19" s="4" t="s">
        <v>59</v>
      </c>
      <c r="G19" s="5" t="s">
        <v>64</v>
      </c>
      <c r="H19" s="4" t="s">
        <v>75</v>
      </c>
      <c r="I19" s="5" t="s">
        <v>71</v>
      </c>
      <c r="J19" s="4">
        <v>300</v>
      </c>
      <c r="K19" s="4">
        <v>60</v>
      </c>
      <c r="L19" s="4">
        <v>60</v>
      </c>
      <c r="M19" s="4">
        <v>40</v>
      </c>
      <c r="N19" s="4">
        <v>40</v>
      </c>
      <c r="O19" s="4" t="s">
        <v>10</v>
      </c>
      <c r="P19" s="4">
        <v>-1</v>
      </c>
      <c r="Q19" s="4">
        <v>11</v>
      </c>
      <c r="R19" s="4">
        <f t="shared" si="1"/>
        <v>21</v>
      </c>
    </row>
    <row r="20" spans="1:18" x14ac:dyDescent="0.55000000000000004">
      <c r="A20" s="4">
        <v>6009</v>
      </c>
      <c r="B20" s="4" t="s">
        <v>114</v>
      </c>
      <c r="C20" s="5" t="s">
        <v>53</v>
      </c>
      <c r="D20" s="4" t="s">
        <v>56</v>
      </c>
      <c r="E20" s="5" t="s">
        <v>55</v>
      </c>
      <c r="F20" s="4" t="s">
        <v>61</v>
      </c>
      <c r="G20" s="5" t="s">
        <v>66</v>
      </c>
      <c r="H20" s="4" t="s">
        <v>76</v>
      </c>
      <c r="I20" s="5" t="s">
        <v>72</v>
      </c>
      <c r="J20" s="4">
        <v>300</v>
      </c>
      <c r="K20" s="4">
        <v>60</v>
      </c>
      <c r="L20" s="4">
        <v>60</v>
      </c>
      <c r="M20" s="4">
        <v>40</v>
      </c>
      <c r="N20" s="4">
        <v>40</v>
      </c>
      <c r="O20" s="4" t="s">
        <v>10</v>
      </c>
      <c r="P20" s="4">
        <v>-1</v>
      </c>
      <c r="Q20" s="4">
        <v>11</v>
      </c>
      <c r="R20" s="4">
        <f t="shared" si="1"/>
        <v>21</v>
      </c>
    </row>
    <row r="21" spans="1:18" x14ac:dyDescent="0.55000000000000004">
      <c r="A21" s="4">
        <v>6010</v>
      </c>
      <c r="B21" s="4" t="s">
        <v>110</v>
      </c>
      <c r="C21" s="5" t="s">
        <v>52</v>
      </c>
      <c r="D21" s="4" t="s">
        <v>56</v>
      </c>
      <c r="E21" s="5" t="s">
        <v>55</v>
      </c>
      <c r="F21" s="4" t="s">
        <v>62</v>
      </c>
      <c r="G21" s="5" t="s">
        <v>67</v>
      </c>
      <c r="H21" s="4" t="s">
        <v>74</v>
      </c>
      <c r="I21" s="5" t="s">
        <v>70</v>
      </c>
      <c r="J21" s="4">
        <v>300</v>
      </c>
      <c r="K21" s="4">
        <v>60</v>
      </c>
      <c r="L21" s="4">
        <v>60</v>
      </c>
      <c r="M21" s="4">
        <v>40</v>
      </c>
      <c r="N21" s="4">
        <v>40</v>
      </c>
      <c r="O21" s="4" t="s">
        <v>10</v>
      </c>
      <c r="P21" s="4">
        <v>-1</v>
      </c>
      <c r="Q21" s="4">
        <v>11</v>
      </c>
      <c r="R21" s="4">
        <f t="shared" si="1"/>
        <v>21</v>
      </c>
    </row>
    <row r="22" spans="1:18" x14ac:dyDescent="0.55000000000000004">
      <c r="A22" s="4">
        <v>6011</v>
      </c>
      <c r="B22" s="4" t="s">
        <v>107</v>
      </c>
      <c r="C22" s="5" t="s">
        <v>44</v>
      </c>
      <c r="D22" s="4" t="s">
        <v>56</v>
      </c>
      <c r="E22" s="5" t="s">
        <v>55</v>
      </c>
      <c r="F22" s="4" t="s">
        <v>62</v>
      </c>
      <c r="G22" s="5" t="s">
        <v>67</v>
      </c>
      <c r="H22" s="4" t="s">
        <v>77</v>
      </c>
      <c r="I22" s="5" t="s">
        <v>73</v>
      </c>
      <c r="J22" s="4">
        <v>300</v>
      </c>
      <c r="K22" s="4">
        <v>60</v>
      </c>
      <c r="L22" s="4">
        <v>60</v>
      </c>
      <c r="M22" s="4">
        <v>40</v>
      </c>
      <c r="N22" s="4">
        <v>40</v>
      </c>
      <c r="O22" s="4" t="s">
        <v>10</v>
      </c>
      <c r="P22" s="4">
        <v>-1</v>
      </c>
      <c r="Q22" s="4">
        <v>11</v>
      </c>
      <c r="R22" s="4">
        <f t="shared" si="1"/>
        <v>21</v>
      </c>
    </row>
    <row r="23" spans="1:18" x14ac:dyDescent="0.55000000000000004">
      <c r="A23" s="4">
        <v>6012</v>
      </c>
      <c r="B23" s="4" t="s">
        <v>123</v>
      </c>
      <c r="C23" s="5" t="s">
        <v>36</v>
      </c>
      <c r="D23" s="4" t="s">
        <v>56</v>
      </c>
      <c r="E23" s="5" t="s">
        <v>55</v>
      </c>
      <c r="F23" s="4" t="s">
        <v>63</v>
      </c>
      <c r="G23" s="5" t="s">
        <v>68</v>
      </c>
      <c r="H23" s="4" t="s">
        <v>74</v>
      </c>
      <c r="I23" s="5" t="s">
        <v>70</v>
      </c>
      <c r="J23" s="4">
        <v>300</v>
      </c>
      <c r="K23" s="4">
        <v>60</v>
      </c>
      <c r="L23" s="4">
        <v>60</v>
      </c>
      <c r="M23" s="4">
        <v>40</v>
      </c>
      <c r="N23" s="4">
        <v>40</v>
      </c>
      <c r="O23" s="4" t="s">
        <v>10</v>
      </c>
      <c r="P23" s="4">
        <v>-1</v>
      </c>
      <c r="Q23" s="4">
        <v>11</v>
      </c>
      <c r="R23" s="4">
        <f t="shared" si="1"/>
        <v>21</v>
      </c>
    </row>
    <row r="24" spans="1:18" x14ac:dyDescent="0.55000000000000004">
      <c r="A24" s="4">
        <v>6013</v>
      </c>
      <c r="B24" s="4" t="s">
        <v>112</v>
      </c>
      <c r="C24" s="5" t="s">
        <v>38</v>
      </c>
      <c r="D24" s="4" t="s">
        <v>56</v>
      </c>
      <c r="E24" s="5" t="s">
        <v>55</v>
      </c>
      <c r="F24" s="4" t="s">
        <v>62</v>
      </c>
      <c r="G24" s="5" t="s">
        <v>67</v>
      </c>
      <c r="H24" s="4" t="s">
        <v>74</v>
      </c>
      <c r="I24" s="5" t="s">
        <v>70</v>
      </c>
      <c r="J24" s="4">
        <v>300</v>
      </c>
      <c r="K24" s="4">
        <v>60</v>
      </c>
      <c r="L24" s="4">
        <v>60</v>
      </c>
      <c r="M24" s="4">
        <v>40</v>
      </c>
      <c r="N24" s="4">
        <v>40</v>
      </c>
      <c r="O24" s="4" t="s">
        <v>10</v>
      </c>
      <c r="P24" s="4">
        <v>-1</v>
      </c>
      <c r="Q24" s="4">
        <v>11</v>
      </c>
      <c r="R24" s="4">
        <f t="shared" si="1"/>
        <v>21</v>
      </c>
    </row>
    <row r="25" spans="1:18" x14ac:dyDescent="0.55000000000000004">
      <c r="A25" s="4">
        <v>6014</v>
      </c>
      <c r="B25" s="4" t="s">
        <v>119</v>
      </c>
      <c r="C25" s="5" t="s">
        <v>43</v>
      </c>
      <c r="D25" s="4" t="s">
        <v>56</v>
      </c>
      <c r="E25" s="5" t="s">
        <v>55</v>
      </c>
      <c r="F25" s="4" t="s">
        <v>60</v>
      </c>
      <c r="G25" s="5" t="s">
        <v>65</v>
      </c>
      <c r="H25" s="4" t="s">
        <v>77</v>
      </c>
      <c r="I25" s="5" t="s">
        <v>73</v>
      </c>
      <c r="J25" s="4">
        <v>300</v>
      </c>
      <c r="K25" s="4">
        <v>60</v>
      </c>
      <c r="L25" s="4">
        <v>60</v>
      </c>
      <c r="M25" s="4">
        <v>40</v>
      </c>
      <c r="N25" s="4">
        <v>40</v>
      </c>
      <c r="O25" s="4" t="s">
        <v>10</v>
      </c>
      <c r="P25" s="4">
        <v>-1</v>
      </c>
      <c r="Q25" s="4">
        <v>11</v>
      </c>
      <c r="R25" s="4">
        <f t="shared" si="1"/>
        <v>21</v>
      </c>
    </row>
    <row r="26" spans="1:18" x14ac:dyDescent="0.55000000000000004">
      <c r="A26" s="4">
        <v>6015</v>
      </c>
      <c r="B26" s="4" t="s">
        <v>122</v>
      </c>
      <c r="C26" s="5" t="s">
        <v>46</v>
      </c>
      <c r="D26" s="4" t="s">
        <v>56</v>
      </c>
      <c r="E26" s="5" t="s">
        <v>55</v>
      </c>
      <c r="F26" s="4" t="s">
        <v>59</v>
      </c>
      <c r="G26" s="5" t="s">
        <v>64</v>
      </c>
      <c r="H26" s="4" t="s">
        <v>75</v>
      </c>
      <c r="I26" s="5" t="s">
        <v>71</v>
      </c>
      <c r="J26" s="4">
        <v>300</v>
      </c>
      <c r="K26" s="4">
        <v>60</v>
      </c>
      <c r="L26" s="4">
        <v>60</v>
      </c>
      <c r="M26" s="4">
        <v>40</v>
      </c>
      <c r="N26" s="4">
        <v>40</v>
      </c>
      <c r="O26" s="4" t="s">
        <v>10</v>
      </c>
      <c r="P26" s="4">
        <v>-1</v>
      </c>
      <c r="Q26" s="4">
        <v>11</v>
      </c>
      <c r="R26" s="4">
        <f t="shared" si="1"/>
        <v>21</v>
      </c>
    </row>
    <row r="27" spans="1:18" x14ac:dyDescent="0.55000000000000004">
      <c r="A27" s="4">
        <v>6016</v>
      </c>
      <c r="B27" s="4" t="s">
        <v>115</v>
      </c>
      <c r="C27" s="5" t="s">
        <v>47</v>
      </c>
      <c r="D27" s="4" t="s">
        <v>56</v>
      </c>
      <c r="E27" s="5" t="s">
        <v>55</v>
      </c>
      <c r="F27" s="4" t="s">
        <v>60</v>
      </c>
      <c r="G27" s="5" t="s">
        <v>65</v>
      </c>
      <c r="H27" s="4" t="s">
        <v>76</v>
      </c>
      <c r="I27" s="5" t="s">
        <v>72</v>
      </c>
      <c r="J27" s="4">
        <v>300</v>
      </c>
      <c r="K27" s="4">
        <v>60</v>
      </c>
      <c r="L27" s="4">
        <v>60</v>
      </c>
      <c r="M27" s="4">
        <v>40</v>
      </c>
      <c r="N27" s="4">
        <v>40</v>
      </c>
      <c r="O27" s="4" t="s">
        <v>10</v>
      </c>
      <c r="P27" s="4">
        <v>-1</v>
      </c>
      <c r="Q27" s="4">
        <v>11</v>
      </c>
      <c r="R27" s="4">
        <f t="shared" si="1"/>
        <v>21</v>
      </c>
    </row>
    <row r="28" spans="1:18" x14ac:dyDescent="0.55000000000000004">
      <c r="A28" s="4">
        <v>6017</v>
      </c>
      <c r="B28" s="4" t="s">
        <v>113</v>
      </c>
      <c r="C28" s="5" t="s">
        <v>41</v>
      </c>
      <c r="D28" s="4" t="s">
        <v>56</v>
      </c>
      <c r="E28" s="5" t="s">
        <v>55</v>
      </c>
      <c r="F28" s="4" t="s">
        <v>62</v>
      </c>
      <c r="G28" s="5" t="s">
        <v>67</v>
      </c>
      <c r="H28" s="4" t="s">
        <v>74</v>
      </c>
      <c r="I28" s="5" t="s">
        <v>70</v>
      </c>
      <c r="J28" s="4">
        <v>300</v>
      </c>
      <c r="K28" s="4">
        <v>60</v>
      </c>
      <c r="L28" s="4">
        <v>60</v>
      </c>
      <c r="M28" s="4">
        <v>40</v>
      </c>
      <c r="N28" s="4">
        <v>40</v>
      </c>
      <c r="O28" s="4" t="s">
        <v>10</v>
      </c>
      <c r="P28" s="4">
        <v>-1</v>
      </c>
      <c r="Q28" s="4">
        <v>11</v>
      </c>
      <c r="R28" s="4">
        <f t="shared" si="1"/>
        <v>21</v>
      </c>
    </row>
    <row r="29" spans="1:18" x14ac:dyDescent="0.55000000000000004">
      <c r="A29" s="4">
        <v>6018</v>
      </c>
      <c r="B29" s="4" t="s">
        <v>108</v>
      </c>
      <c r="C29" s="5" t="s">
        <v>37</v>
      </c>
      <c r="D29" s="4" t="s">
        <v>56</v>
      </c>
      <c r="E29" s="5" t="s">
        <v>55</v>
      </c>
      <c r="F29" s="4" t="s">
        <v>60</v>
      </c>
      <c r="G29" s="5" t="s">
        <v>65</v>
      </c>
      <c r="H29" s="4" t="s">
        <v>76</v>
      </c>
      <c r="I29" s="5" t="s">
        <v>72</v>
      </c>
      <c r="J29" s="4">
        <v>300</v>
      </c>
      <c r="K29" s="4">
        <v>60</v>
      </c>
      <c r="L29" s="4">
        <v>60</v>
      </c>
      <c r="M29" s="4">
        <v>40</v>
      </c>
      <c r="N29" s="4">
        <v>40</v>
      </c>
      <c r="O29" s="4" t="s">
        <v>10</v>
      </c>
      <c r="P29" s="4">
        <v>-1</v>
      </c>
      <c r="Q29" s="4">
        <v>11</v>
      </c>
      <c r="R29" s="4">
        <f t="shared" si="1"/>
        <v>21</v>
      </c>
    </row>
    <row r="30" spans="1:18" x14ac:dyDescent="0.55000000000000004">
      <c r="A30" s="4">
        <v>6019</v>
      </c>
      <c r="B30" s="4" t="s">
        <v>116</v>
      </c>
      <c r="C30" s="5" t="s">
        <v>54</v>
      </c>
      <c r="D30" s="4" t="s">
        <v>56</v>
      </c>
      <c r="E30" s="5" t="s">
        <v>55</v>
      </c>
      <c r="F30" s="4" t="s">
        <v>59</v>
      </c>
      <c r="G30" s="5" t="s">
        <v>64</v>
      </c>
      <c r="H30" s="4" t="s">
        <v>76</v>
      </c>
      <c r="I30" s="5" t="s">
        <v>72</v>
      </c>
      <c r="J30" s="4">
        <v>300</v>
      </c>
      <c r="K30" s="4">
        <v>60</v>
      </c>
      <c r="L30" s="4">
        <v>60</v>
      </c>
      <c r="M30" s="4">
        <v>40</v>
      </c>
      <c r="N30" s="4">
        <v>40</v>
      </c>
      <c r="O30" s="4" t="s">
        <v>10</v>
      </c>
      <c r="P30" s="4">
        <v>-1</v>
      </c>
      <c r="Q30" s="4">
        <v>19</v>
      </c>
      <c r="R30" s="4">
        <f t="shared" si="1"/>
        <v>37</v>
      </c>
    </row>
    <row r="31" spans="1:18" x14ac:dyDescent="0.55000000000000004">
      <c r="A31" s="6">
        <v>7001</v>
      </c>
      <c r="B31" s="6" t="s">
        <v>124</v>
      </c>
      <c r="C31" s="7" t="s">
        <v>79</v>
      </c>
      <c r="D31" s="6" t="s">
        <v>93</v>
      </c>
      <c r="E31" s="7" t="s">
        <v>92</v>
      </c>
      <c r="F31" s="6" t="s">
        <v>59</v>
      </c>
      <c r="G31" s="7" t="s">
        <v>64</v>
      </c>
      <c r="H31" s="6" t="s">
        <v>74</v>
      </c>
      <c r="I31" s="7" t="s">
        <v>70</v>
      </c>
      <c r="J31" s="6">
        <v>500</v>
      </c>
      <c r="K31" s="6">
        <v>100</v>
      </c>
      <c r="L31" s="6">
        <v>100</v>
      </c>
      <c r="M31" s="6">
        <v>70</v>
      </c>
      <c r="N31" s="6">
        <v>70</v>
      </c>
      <c r="O31" s="6" t="s">
        <v>10</v>
      </c>
      <c r="P31" s="6">
        <v>-1</v>
      </c>
      <c r="Q31" s="6">
        <v>21</v>
      </c>
      <c r="R31" s="6">
        <f t="shared" si="1"/>
        <v>41</v>
      </c>
    </row>
    <row r="32" spans="1:18" x14ac:dyDescent="0.55000000000000004">
      <c r="A32" s="6">
        <v>7002</v>
      </c>
      <c r="B32" s="6" t="s">
        <v>129</v>
      </c>
      <c r="C32" s="7" t="s">
        <v>80</v>
      </c>
      <c r="D32" s="6" t="s">
        <v>93</v>
      </c>
      <c r="E32" s="7" t="s">
        <v>92</v>
      </c>
      <c r="F32" s="6" t="s">
        <v>59</v>
      </c>
      <c r="G32" s="7" t="s">
        <v>64</v>
      </c>
      <c r="H32" s="6" t="s">
        <v>77</v>
      </c>
      <c r="I32" s="7" t="s">
        <v>73</v>
      </c>
      <c r="J32" s="6">
        <v>500</v>
      </c>
      <c r="K32" s="6">
        <v>100</v>
      </c>
      <c r="L32" s="6">
        <v>100</v>
      </c>
      <c r="M32" s="6">
        <v>70</v>
      </c>
      <c r="N32" s="6">
        <v>70</v>
      </c>
      <c r="O32" s="6" t="s">
        <v>10</v>
      </c>
      <c r="P32" s="6">
        <v>-1</v>
      </c>
      <c r="Q32" s="6">
        <v>21</v>
      </c>
      <c r="R32" s="6">
        <f t="shared" si="1"/>
        <v>41</v>
      </c>
    </row>
    <row r="33" spans="1:18" x14ac:dyDescent="0.55000000000000004">
      <c r="A33" s="6">
        <v>7003</v>
      </c>
      <c r="B33" s="6" t="s">
        <v>125</v>
      </c>
      <c r="C33" s="7" t="s">
        <v>81</v>
      </c>
      <c r="D33" s="6" t="s">
        <v>93</v>
      </c>
      <c r="E33" s="7" t="s">
        <v>92</v>
      </c>
      <c r="F33" s="6" t="s">
        <v>59</v>
      </c>
      <c r="G33" s="7" t="s">
        <v>64</v>
      </c>
      <c r="H33" s="6" t="s">
        <v>76</v>
      </c>
      <c r="I33" s="7" t="s">
        <v>72</v>
      </c>
      <c r="J33" s="6">
        <v>500</v>
      </c>
      <c r="K33" s="6">
        <v>100</v>
      </c>
      <c r="L33" s="6">
        <v>100</v>
      </c>
      <c r="M33" s="6">
        <v>70</v>
      </c>
      <c r="N33" s="6">
        <v>70</v>
      </c>
      <c r="O33" s="6" t="s">
        <v>10</v>
      </c>
      <c r="P33" s="6">
        <v>-1</v>
      </c>
      <c r="Q33" s="6">
        <v>21</v>
      </c>
      <c r="R33" s="6">
        <f t="shared" si="1"/>
        <v>41</v>
      </c>
    </row>
    <row r="34" spans="1:18" x14ac:dyDescent="0.55000000000000004">
      <c r="A34" s="6">
        <v>7004</v>
      </c>
      <c r="B34" s="6" t="s">
        <v>130</v>
      </c>
      <c r="C34" s="7" t="s">
        <v>94</v>
      </c>
      <c r="D34" s="6" t="s">
        <v>93</v>
      </c>
      <c r="E34" s="7" t="s">
        <v>92</v>
      </c>
      <c r="F34" s="6" t="s">
        <v>59</v>
      </c>
      <c r="G34" s="7" t="s">
        <v>64</v>
      </c>
      <c r="H34" s="6" t="s">
        <v>76</v>
      </c>
      <c r="I34" s="7" t="s">
        <v>72</v>
      </c>
      <c r="J34" s="6">
        <v>500</v>
      </c>
      <c r="K34" s="6">
        <v>100</v>
      </c>
      <c r="L34" s="6">
        <v>100</v>
      </c>
      <c r="M34" s="6">
        <v>70</v>
      </c>
      <c r="N34" s="6">
        <v>70</v>
      </c>
      <c r="O34" s="6" t="s">
        <v>10</v>
      </c>
      <c r="P34" s="6">
        <v>-1</v>
      </c>
      <c r="Q34" s="6">
        <v>21</v>
      </c>
      <c r="R34" s="6">
        <f t="shared" si="1"/>
        <v>41</v>
      </c>
    </row>
    <row r="35" spans="1:18" x14ac:dyDescent="0.55000000000000004">
      <c r="A35" s="6">
        <v>7005</v>
      </c>
      <c r="B35" s="6">
        <v>1</v>
      </c>
      <c r="C35" s="7" t="s">
        <v>141</v>
      </c>
      <c r="D35" s="6" t="s">
        <v>93</v>
      </c>
      <c r="E35" s="7" t="s">
        <v>92</v>
      </c>
      <c r="F35" s="6" t="s">
        <v>59</v>
      </c>
      <c r="G35" s="7" t="s">
        <v>64</v>
      </c>
      <c r="H35" s="6" t="s">
        <v>77</v>
      </c>
      <c r="I35" s="7" t="s">
        <v>73</v>
      </c>
      <c r="J35" s="6">
        <v>500</v>
      </c>
      <c r="K35" s="6">
        <v>100</v>
      </c>
      <c r="L35" s="6">
        <v>100</v>
      </c>
      <c r="M35" s="6">
        <v>70</v>
      </c>
      <c r="N35" s="6">
        <v>70</v>
      </c>
      <c r="O35" s="6" t="s">
        <v>10</v>
      </c>
      <c r="P35" s="6">
        <v>-1</v>
      </c>
      <c r="Q35" s="6">
        <v>21</v>
      </c>
      <c r="R35" s="6">
        <f t="shared" si="1"/>
        <v>41</v>
      </c>
    </row>
    <row r="36" spans="1:18" x14ac:dyDescent="0.55000000000000004">
      <c r="A36" s="6">
        <v>7006</v>
      </c>
      <c r="B36" s="6">
        <v>1</v>
      </c>
      <c r="C36" s="7" t="s">
        <v>142</v>
      </c>
      <c r="D36" s="6" t="s">
        <v>93</v>
      </c>
      <c r="E36" s="7" t="s">
        <v>92</v>
      </c>
      <c r="F36" s="6" t="s">
        <v>59</v>
      </c>
      <c r="G36" s="7" t="s">
        <v>64</v>
      </c>
      <c r="H36" s="6" t="s">
        <v>75</v>
      </c>
      <c r="I36" s="7" t="s">
        <v>71</v>
      </c>
      <c r="J36" s="6">
        <v>500</v>
      </c>
      <c r="K36" s="6">
        <v>100</v>
      </c>
      <c r="L36" s="6">
        <v>100</v>
      </c>
      <c r="M36" s="6">
        <v>70</v>
      </c>
      <c r="N36" s="6">
        <v>70</v>
      </c>
      <c r="O36" s="6" t="s">
        <v>10</v>
      </c>
      <c r="P36" s="6">
        <v>-1</v>
      </c>
      <c r="Q36" s="6">
        <v>21</v>
      </c>
      <c r="R36" s="6">
        <f t="shared" si="1"/>
        <v>41</v>
      </c>
    </row>
    <row r="37" spans="1:18" x14ac:dyDescent="0.55000000000000004">
      <c r="A37" s="6">
        <v>7007</v>
      </c>
      <c r="B37" s="6" t="s">
        <v>144</v>
      </c>
      <c r="C37" s="7" t="s">
        <v>90</v>
      </c>
      <c r="D37" s="6" t="s">
        <v>93</v>
      </c>
      <c r="E37" s="7" t="s">
        <v>92</v>
      </c>
      <c r="F37" s="6" t="s">
        <v>60</v>
      </c>
      <c r="G37" s="7" t="s">
        <v>65</v>
      </c>
      <c r="H37" s="6" t="s">
        <v>75</v>
      </c>
      <c r="I37" s="7" t="s">
        <v>71</v>
      </c>
      <c r="J37" s="6">
        <v>500</v>
      </c>
      <c r="K37" s="6">
        <v>100</v>
      </c>
      <c r="L37" s="6">
        <v>100</v>
      </c>
      <c r="M37" s="6">
        <v>70</v>
      </c>
      <c r="N37" s="6">
        <v>70</v>
      </c>
      <c r="O37" s="6" t="s">
        <v>10</v>
      </c>
      <c r="P37" s="6">
        <v>-1</v>
      </c>
      <c r="Q37" s="6">
        <v>21</v>
      </c>
      <c r="R37" s="6">
        <f t="shared" si="1"/>
        <v>41</v>
      </c>
    </row>
    <row r="38" spans="1:18" x14ac:dyDescent="0.55000000000000004">
      <c r="A38" s="6">
        <v>7008</v>
      </c>
      <c r="B38" s="6" t="s">
        <v>132</v>
      </c>
      <c r="C38" s="7" t="s">
        <v>86</v>
      </c>
      <c r="D38" s="6" t="s">
        <v>93</v>
      </c>
      <c r="E38" s="7" t="s">
        <v>92</v>
      </c>
      <c r="F38" s="6" t="s">
        <v>59</v>
      </c>
      <c r="G38" s="7" t="s">
        <v>64</v>
      </c>
      <c r="H38" s="6" t="s">
        <v>75</v>
      </c>
      <c r="I38" s="7" t="s">
        <v>71</v>
      </c>
      <c r="J38" s="6">
        <v>500</v>
      </c>
      <c r="K38" s="6">
        <v>100</v>
      </c>
      <c r="L38" s="6">
        <v>100</v>
      </c>
      <c r="M38" s="6">
        <v>70</v>
      </c>
      <c r="N38" s="6">
        <v>70</v>
      </c>
      <c r="O38" s="6" t="s">
        <v>10</v>
      </c>
      <c r="P38" s="6">
        <v>-1</v>
      </c>
      <c r="Q38" s="6">
        <v>21</v>
      </c>
      <c r="R38" s="6">
        <f t="shared" si="1"/>
        <v>41</v>
      </c>
    </row>
    <row r="39" spans="1:18" x14ac:dyDescent="0.55000000000000004">
      <c r="A39" s="6">
        <v>7009</v>
      </c>
      <c r="B39" s="6" t="s">
        <v>126</v>
      </c>
      <c r="C39" s="7" t="s">
        <v>87</v>
      </c>
      <c r="D39" s="6" t="s">
        <v>93</v>
      </c>
      <c r="E39" s="7" t="s">
        <v>92</v>
      </c>
      <c r="F39" s="6" t="s">
        <v>61</v>
      </c>
      <c r="G39" s="7" t="s">
        <v>66</v>
      </c>
      <c r="H39" s="6" t="s">
        <v>76</v>
      </c>
      <c r="I39" s="7" t="s">
        <v>72</v>
      </c>
      <c r="J39" s="6">
        <v>500</v>
      </c>
      <c r="K39" s="6">
        <v>100</v>
      </c>
      <c r="L39" s="6">
        <v>100</v>
      </c>
      <c r="M39" s="6">
        <v>70</v>
      </c>
      <c r="N39" s="6">
        <v>70</v>
      </c>
      <c r="O39" s="6" t="s">
        <v>10</v>
      </c>
      <c r="P39" s="6">
        <v>-1</v>
      </c>
      <c r="Q39" s="6">
        <v>21</v>
      </c>
      <c r="R39" s="6">
        <f t="shared" si="1"/>
        <v>41</v>
      </c>
    </row>
    <row r="40" spans="1:18" x14ac:dyDescent="0.55000000000000004">
      <c r="A40" s="6">
        <v>7010</v>
      </c>
      <c r="B40" s="6" t="s">
        <v>135</v>
      </c>
      <c r="C40" s="7" t="s">
        <v>88</v>
      </c>
      <c r="D40" s="6" t="s">
        <v>93</v>
      </c>
      <c r="E40" s="7" t="s">
        <v>92</v>
      </c>
      <c r="F40" s="6" t="s">
        <v>62</v>
      </c>
      <c r="G40" s="7" t="s">
        <v>67</v>
      </c>
      <c r="H40" s="6" t="s">
        <v>74</v>
      </c>
      <c r="I40" s="7" t="s">
        <v>70</v>
      </c>
      <c r="J40" s="6">
        <v>500</v>
      </c>
      <c r="K40" s="6">
        <v>100</v>
      </c>
      <c r="L40" s="6">
        <v>100</v>
      </c>
      <c r="M40" s="6">
        <v>70</v>
      </c>
      <c r="N40" s="6">
        <v>70</v>
      </c>
      <c r="O40" s="6" t="s">
        <v>10</v>
      </c>
      <c r="P40" s="6">
        <v>-1</v>
      </c>
      <c r="Q40" s="6">
        <v>21</v>
      </c>
      <c r="R40" s="6">
        <f t="shared" si="1"/>
        <v>41</v>
      </c>
    </row>
    <row r="41" spans="1:18" x14ac:dyDescent="0.55000000000000004">
      <c r="A41" s="6">
        <v>7011</v>
      </c>
      <c r="B41" s="6" t="s">
        <v>127</v>
      </c>
      <c r="C41" s="7" t="s">
        <v>82</v>
      </c>
      <c r="D41" s="6" t="s">
        <v>93</v>
      </c>
      <c r="E41" s="7" t="s">
        <v>92</v>
      </c>
      <c r="F41" s="6" t="s">
        <v>62</v>
      </c>
      <c r="G41" s="7" t="s">
        <v>67</v>
      </c>
      <c r="H41" s="6" t="s">
        <v>76</v>
      </c>
      <c r="I41" s="7" t="s">
        <v>72</v>
      </c>
      <c r="J41" s="6">
        <v>500</v>
      </c>
      <c r="K41" s="6">
        <v>100</v>
      </c>
      <c r="L41" s="6">
        <v>100</v>
      </c>
      <c r="M41" s="6">
        <v>70</v>
      </c>
      <c r="N41" s="6">
        <v>70</v>
      </c>
      <c r="O41" s="6" t="s">
        <v>10</v>
      </c>
      <c r="P41" s="6">
        <v>-1</v>
      </c>
      <c r="Q41" s="6">
        <v>21</v>
      </c>
      <c r="R41" s="6">
        <f t="shared" si="1"/>
        <v>41</v>
      </c>
    </row>
    <row r="42" spans="1:18" x14ac:dyDescent="0.55000000000000004">
      <c r="A42" s="6">
        <v>7012</v>
      </c>
      <c r="B42" s="6" t="s">
        <v>128</v>
      </c>
      <c r="C42" s="7" t="s">
        <v>83</v>
      </c>
      <c r="D42" s="6" t="s">
        <v>93</v>
      </c>
      <c r="E42" s="7" t="s">
        <v>92</v>
      </c>
      <c r="F42" s="6" t="s">
        <v>63</v>
      </c>
      <c r="G42" s="7" t="s">
        <v>68</v>
      </c>
      <c r="H42" s="6" t="s">
        <v>74</v>
      </c>
      <c r="I42" s="7" t="s">
        <v>70</v>
      </c>
      <c r="J42" s="6">
        <v>500</v>
      </c>
      <c r="K42" s="6">
        <v>100</v>
      </c>
      <c r="L42" s="6">
        <v>100</v>
      </c>
      <c r="M42" s="6">
        <v>70</v>
      </c>
      <c r="N42" s="6">
        <v>70</v>
      </c>
      <c r="O42" s="6" t="s">
        <v>10</v>
      </c>
      <c r="P42" s="6">
        <v>-1</v>
      </c>
      <c r="Q42" s="6">
        <v>21</v>
      </c>
      <c r="R42" s="6">
        <f t="shared" si="1"/>
        <v>41</v>
      </c>
    </row>
    <row r="43" spans="1:18" x14ac:dyDescent="0.55000000000000004">
      <c r="A43" s="6">
        <v>7013</v>
      </c>
      <c r="B43" s="6" t="s">
        <v>131</v>
      </c>
      <c r="C43" s="7" t="s">
        <v>78</v>
      </c>
      <c r="D43" s="6" t="s">
        <v>93</v>
      </c>
      <c r="E43" s="7" t="s">
        <v>92</v>
      </c>
      <c r="F43" s="6" t="s">
        <v>62</v>
      </c>
      <c r="G43" s="7" t="s">
        <v>67</v>
      </c>
      <c r="H43" s="6" t="s">
        <v>74</v>
      </c>
      <c r="I43" s="7" t="s">
        <v>70</v>
      </c>
      <c r="J43" s="6">
        <v>500</v>
      </c>
      <c r="K43" s="6">
        <v>100</v>
      </c>
      <c r="L43" s="6">
        <v>100</v>
      </c>
      <c r="M43" s="6">
        <v>70</v>
      </c>
      <c r="N43" s="6">
        <v>70</v>
      </c>
      <c r="O43" s="6" t="s">
        <v>10</v>
      </c>
      <c r="P43" s="6">
        <v>-1</v>
      </c>
      <c r="Q43" s="6">
        <v>21</v>
      </c>
      <c r="R43" s="6">
        <f t="shared" si="1"/>
        <v>41</v>
      </c>
    </row>
    <row r="44" spans="1:18" x14ac:dyDescent="0.55000000000000004">
      <c r="A44" s="6">
        <v>7014</v>
      </c>
      <c r="B44" s="6" t="s">
        <v>133</v>
      </c>
      <c r="C44" s="7" t="s">
        <v>85</v>
      </c>
      <c r="D44" s="6" t="s">
        <v>93</v>
      </c>
      <c r="E44" s="7" t="s">
        <v>92</v>
      </c>
      <c r="F44" s="6" t="s">
        <v>60</v>
      </c>
      <c r="G44" s="7" t="s">
        <v>65</v>
      </c>
      <c r="H44" s="6" t="s">
        <v>77</v>
      </c>
      <c r="I44" s="7" t="s">
        <v>73</v>
      </c>
      <c r="J44" s="6">
        <v>500</v>
      </c>
      <c r="K44" s="6">
        <v>100</v>
      </c>
      <c r="L44" s="6">
        <v>100</v>
      </c>
      <c r="M44" s="6">
        <v>70</v>
      </c>
      <c r="N44" s="6">
        <v>70</v>
      </c>
      <c r="O44" s="6" t="s">
        <v>10</v>
      </c>
      <c r="P44" s="6">
        <v>-1</v>
      </c>
      <c r="Q44" s="6">
        <v>21</v>
      </c>
      <c r="R44" s="6">
        <f t="shared" si="1"/>
        <v>41</v>
      </c>
    </row>
    <row r="45" spans="1:18" x14ac:dyDescent="0.55000000000000004">
      <c r="A45" s="6">
        <v>7015</v>
      </c>
      <c r="B45" s="6" t="s">
        <v>136</v>
      </c>
      <c r="C45" s="7" t="s">
        <v>89</v>
      </c>
      <c r="D45" s="6" t="s">
        <v>93</v>
      </c>
      <c r="E45" s="7" t="s">
        <v>92</v>
      </c>
      <c r="F45" s="6" t="s">
        <v>62</v>
      </c>
      <c r="G45" s="7" t="s">
        <v>67</v>
      </c>
      <c r="H45" s="6" t="s">
        <v>75</v>
      </c>
      <c r="I45" s="7" t="s">
        <v>71</v>
      </c>
      <c r="J45" s="6">
        <v>500</v>
      </c>
      <c r="K45" s="6">
        <v>100</v>
      </c>
      <c r="L45" s="6">
        <v>100</v>
      </c>
      <c r="M45" s="6">
        <v>70</v>
      </c>
      <c r="N45" s="6">
        <v>70</v>
      </c>
      <c r="O45" s="6" t="s">
        <v>10</v>
      </c>
      <c r="P45" s="6">
        <v>-1</v>
      </c>
      <c r="Q45" s="6">
        <v>21</v>
      </c>
      <c r="R45" s="6">
        <f t="shared" si="1"/>
        <v>41</v>
      </c>
    </row>
    <row r="46" spans="1:18" x14ac:dyDescent="0.55000000000000004">
      <c r="A46" s="6">
        <v>7016</v>
      </c>
      <c r="B46" s="6" t="s">
        <v>138</v>
      </c>
      <c r="C46" s="7" t="s">
        <v>91</v>
      </c>
      <c r="D46" s="6" t="s">
        <v>93</v>
      </c>
      <c r="E46" s="7" t="s">
        <v>92</v>
      </c>
      <c r="F46" s="6" t="s">
        <v>60</v>
      </c>
      <c r="G46" s="7" t="s">
        <v>65</v>
      </c>
      <c r="H46" s="6" t="s">
        <v>74</v>
      </c>
      <c r="I46" s="7" t="s">
        <v>70</v>
      </c>
      <c r="J46" s="6">
        <v>500</v>
      </c>
      <c r="K46" s="6">
        <v>100</v>
      </c>
      <c r="L46" s="6">
        <v>100</v>
      </c>
      <c r="M46" s="6">
        <v>70</v>
      </c>
      <c r="N46" s="6">
        <v>70</v>
      </c>
      <c r="O46" s="6" t="s">
        <v>10</v>
      </c>
      <c r="P46" s="6">
        <v>-1</v>
      </c>
      <c r="Q46" s="6">
        <v>21</v>
      </c>
      <c r="R46" s="6">
        <f t="shared" si="1"/>
        <v>41</v>
      </c>
    </row>
    <row r="47" spans="1:18" x14ac:dyDescent="0.55000000000000004">
      <c r="A47" s="6">
        <v>7017</v>
      </c>
      <c r="B47" s="6" t="s">
        <v>134</v>
      </c>
      <c r="C47" s="7" t="s">
        <v>84</v>
      </c>
      <c r="D47" s="6" t="s">
        <v>93</v>
      </c>
      <c r="E47" s="7" t="s">
        <v>92</v>
      </c>
      <c r="F47" s="6" t="s">
        <v>63</v>
      </c>
      <c r="G47" s="7" t="s">
        <v>68</v>
      </c>
      <c r="H47" s="6" t="s">
        <v>75</v>
      </c>
      <c r="I47" s="7" t="s">
        <v>71</v>
      </c>
      <c r="J47" s="6">
        <v>500</v>
      </c>
      <c r="K47" s="6">
        <v>100</v>
      </c>
      <c r="L47" s="6">
        <v>100</v>
      </c>
      <c r="M47" s="6">
        <v>70</v>
      </c>
      <c r="N47" s="6">
        <v>70</v>
      </c>
      <c r="O47" s="6" t="s">
        <v>10</v>
      </c>
      <c r="P47" s="6">
        <v>-1</v>
      </c>
      <c r="Q47" s="6">
        <v>21</v>
      </c>
      <c r="R47" s="6">
        <f t="shared" si="1"/>
        <v>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2BA1-8205-47AD-8838-8518DB605E8F}">
  <dimension ref="A1:F6"/>
  <sheetViews>
    <sheetView workbookViewId="0">
      <selection activeCell="C3" sqref="C3"/>
    </sheetView>
  </sheetViews>
  <sheetFormatPr defaultRowHeight="17.600000000000001" x14ac:dyDescent="0.55000000000000004"/>
  <cols>
    <col min="1" max="1" width="12.5" customWidth="1"/>
  </cols>
  <sheetData>
    <row r="1" spans="1:6" x14ac:dyDescent="0.55000000000000004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</row>
    <row r="2" spans="1:6" x14ac:dyDescent="0.55000000000000004">
      <c r="A2" t="s">
        <v>10</v>
      </c>
      <c r="B2">
        <f>D2*5</f>
        <v>15</v>
      </c>
      <c r="C2">
        <v>3</v>
      </c>
      <c r="D2">
        <v>3</v>
      </c>
      <c r="E2">
        <v>2</v>
      </c>
      <c r="F2">
        <v>2</v>
      </c>
    </row>
    <row r="3" spans="1:6" x14ac:dyDescent="0.55000000000000004">
      <c r="A3" t="s">
        <v>6</v>
      </c>
      <c r="B3">
        <f t="shared" ref="B3:B6" si="0">D3*5</f>
        <v>10</v>
      </c>
      <c r="C3">
        <v>5</v>
      </c>
      <c r="D3">
        <v>2</v>
      </c>
      <c r="E3">
        <v>1</v>
      </c>
      <c r="F3">
        <v>2</v>
      </c>
    </row>
    <row r="4" spans="1:6" x14ac:dyDescent="0.55000000000000004">
      <c r="A4" t="s">
        <v>7</v>
      </c>
      <c r="B4">
        <f t="shared" si="0"/>
        <v>25</v>
      </c>
      <c r="C4">
        <v>2</v>
      </c>
      <c r="D4">
        <v>5</v>
      </c>
      <c r="E4">
        <v>2</v>
      </c>
      <c r="F4">
        <v>1</v>
      </c>
    </row>
    <row r="5" spans="1:6" x14ac:dyDescent="0.55000000000000004">
      <c r="A5" t="s">
        <v>8</v>
      </c>
      <c r="B5">
        <f t="shared" si="0"/>
        <v>10</v>
      </c>
      <c r="C5">
        <v>1</v>
      </c>
      <c r="D5">
        <v>2</v>
      </c>
      <c r="E5">
        <v>5</v>
      </c>
      <c r="F5">
        <v>2</v>
      </c>
    </row>
    <row r="6" spans="1:6" x14ac:dyDescent="0.55000000000000004">
      <c r="A6" t="s">
        <v>9</v>
      </c>
      <c r="B6">
        <f t="shared" si="0"/>
        <v>5</v>
      </c>
      <c r="C6">
        <v>2</v>
      </c>
      <c r="D6">
        <v>1</v>
      </c>
      <c r="E6">
        <v>2</v>
      </c>
      <c r="F6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3A90-5912-4059-8F6A-B0CD3C2852FE}">
  <dimension ref="A1:O11"/>
  <sheetViews>
    <sheetView workbookViewId="0">
      <selection sqref="A1:O11"/>
    </sheetView>
  </sheetViews>
  <sheetFormatPr defaultRowHeight="17.600000000000001" x14ac:dyDescent="0.55000000000000004"/>
  <cols>
    <col min="2" max="2" width="13.92578125" customWidth="1"/>
    <col min="4" max="4" width="11.35546875" customWidth="1"/>
    <col min="5" max="5" width="10.640625" customWidth="1"/>
    <col min="15" max="15" width="15.35546875" customWidth="1"/>
  </cols>
  <sheetData>
    <row r="1" spans="1:15" x14ac:dyDescent="0.55000000000000004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58</v>
      </c>
      <c r="H1" t="s">
        <v>30</v>
      </c>
      <c r="I1" t="s">
        <v>69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0</v>
      </c>
    </row>
    <row r="2" spans="1:15" x14ac:dyDescent="0.55000000000000004">
      <c r="A2">
        <v>1001</v>
      </c>
      <c r="B2" t="s">
        <v>95</v>
      </c>
      <c r="C2" s="1" t="s">
        <v>11</v>
      </c>
      <c r="D2" t="s">
        <v>23</v>
      </c>
      <c r="E2" s="1" t="s">
        <v>22</v>
      </c>
      <c r="F2" t="s">
        <v>21</v>
      </c>
      <c r="G2" s="1" t="s">
        <v>57</v>
      </c>
      <c r="H2" s="1" t="s">
        <v>21</v>
      </c>
      <c r="I2" s="1" t="s">
        <v>57</v>
      </c>
      <c r="J2">
        <v>100</v>
      </c>
      <c r="K2">
        <v>20</v>
      </c>
      <c r="L2">
        <v>20</v>
      </c>
      <c r="M2">
        <v>20</v>
      </c>
      <c r="N2">
        <v>20</v>
      </c>
      <c r="O2" t="s">
        <v>10</v>
      </c>
    </row>
    <row r="3" spans="1:15" x14ac:dyDescent="0.55000000000000004">
      <c r="A3">
        <v>1002</v>
      </c>
      <c r="B3" t="s">
        <v>96</v>
      </c>
      <c r="C3" s="1" t="s">
        <v>17</v>
      </c>
      <c r="D3" t="s">
        <v>23</v>
      </c>
      <c r="E3" s="1" t="s">
        <v>22</v>
      </c>
      <c r="F3" t="s">
        <v>21</v>
      </c>
      <c r="G3" s="1" t="s">
        <v>57</v>
      </c>
      <c r="H3" s="1" t="s">
        <v>21</v>
      </c>
      <c r="I3" s="1" t="s">
        <v>57</v>
      </c>
      <c r="J3">
        <v>100</v>
      </c>
      <c r="K3">
        <v>20</v>
      </c>
      <c r="L3">
        <v>20</v>
      </c>
      <c r="M3">
        <v>20</v>
      </c>
      <c r="N3">
        <v>20</v>
      </c>
      <c r="O3" t="s">
        <v>10</v>
      </c>
    </row>
    <row r="4" spans="1:15" x14ac:dyDescent="0.55000000000000004">
      <c r="A4">
        <v>1003</v>
      </c>
      <c r="B4" t="s">
        <v>97</v>
      </c>
      <c r="C4" s="1" t="s">
        <v>13</v>
      </c>
      <c r="D4" t="s">
        <v>23</v>
      </c>
      <c r="E4" s="1" t="s">
        <v>22</v>
      </c>
      <c r="F4" t="s">
        <v>21</v>
      </c>
      <c r="G4" s="1" t="s">
        <v>57</v>
      </c>
      <c r="H4" s="1" t="s">
        <v>21</v>
      </c>
      <c r="I4" s="1" t="s">
        <v>57</v>
      </c>
      <c r="J4">
        <v>100</v>
      </c>
      <c r="K4">
        <v>20</v>
      </c>
      <c r="L4">
        <v>20</v>
      </c>
      <c r="M4">
        <v>20</v>
      </c>
      <c r="N4">
        <v>20</v>
      </c>
      <c r="O4" t="s">
        <v>10</v>
      </c>
    </row>
    <row r="5" spans="1:15" x14ac:dyDescent="0.55000000000000004">
      <c r="A5">
        <v>1004</v>
      </c>
      <c r="B5" t="s">
        <v>98</v>
      </c>
      <c r="C5" s="1" t="s">
        <v>14</v>
      </c>
      <c r="D5" t="s">
        <v>23</v>
      </c>
      <c r="E5" s="1" t="s">
        <v>22</v>
      </c>
      <c r="F5" t="s">
        <v>21</v>
      </c>
      <c r="G5" s="1" t="s">
        <v>57</v>
      </c>
      <c r="H5" s="1" t="s">
        <v>21</v>
      </c>
      <c r="I5" s="1" t="s">
        <v>57</v>
      </c>
      <c r="J5">
        <v>100</v>
      </c>
      <c r="K5">
        <v>20</v>
      </c>
      <c r="L5">
        <v>20</v>
      </c>
      <c r="M5">
        <v>20</v>
      </c>
      <c r="N5">
        <v>20</v>
      </c>
      <c r="O5" t="s">
        <v>10</v>
      </c>
    </row>
    <row r="6" spans="1:15" x14ac:dyDescent="0.55000000000000004">
      <c r="A6">
        <v>1005</v>
      </c>
      <c r="B6" t="s">
        <v>100</v>
      </c>
      <c r="C6" s="1" t="s">
        <v>15</v>
      </c>
      <c r="D6" t="s">
        <v>23</v>
      </c>
      <c r="E6" s="1" t="s">
        <v>22</v>
      </c>
      <c r="F6" t="s">
        <v>21</v>
      </c>
      <c r="G6" s="1" t="s">
        <v>57</v>
      </c>
      <c r="H6" s="1" t="s">
        <v>21</v>
      </c>
      <c r="I6" s="1" t="s">
        <v>57</v>
      </c>
      <c r="J6">
        <v>100</v>
      </c>
      <c r="K6">
        <v>20</v>
      </c>
      <c r="L6">
        <v>20</v>
      </c>
      <c r="M6">
        <v>20</v>
      </c>
      <c r="N6">
        <v>20</v>
      </c>
      <c r="O6" t="s">
        <v>10</v>
      </c>
    </row>
    <row r="7" spans="1:15" x14ac:dyDescent="0.55000000000000004">
      <c r="A7">
        <v>1006</v>
      </c>
      <c r="B7" t="s">
        <v>99</v>
      </c>
      <c r="C7" s="1" t="s">
        <v>16</v>
      </c>
      <c r="D7" t="s">
        <v>23</v>
      </c>
      <c r="E7" s="1" t="s">
        <v>22</v>
      </c>
      <c r="F7" t="s">
        <v>21</v>
      </c>
      <c r="G7" s="1" t="s">
        <v>57</v>
      </c>
      <c r="H7" s="1" t="s">
        <v>21</v>
      </c>
      <c r="I7" s="1" t="s">
        <v>57</v>
      </c>
      <c r="J7">
        <v>100</v>
      </c>
      <c r="K7">
        <v>20</v>
      </c>
      <c r="L7">
        <v>20</v>
      </c>
      <c r="M7">
        <v>20</v>
      </c>
      <c r="N7">
        <v>20</v>
      </c>
      <c r="O7" t="s">
        <v>10</v>
      </c>
    </row>
    <row r="8" spans="1:15" x14ac:dyDescent="0.55000000000000004">
      <c r="A8">
        <v>1007</v>
      </c>
      <c r="B8" t="s">
        <v>104</v>
      </c>
      <c r="C8" s="1" t="s">
        <v>19</v>
      </c>
      <c r="D8" t="s">
        <v>23</v>
      </c>
      <c r="E8" s="1" t="s">
        <v>22</v>
      </c>
      <c r="F8" t="s">
        <v>21</v>
      </c>
      <c r="G8" s="1" t="s">
        <v>57</v>
      </c>
      <c r="H8" s="1" t="s">
        <v>21</v>
      </c>
      <c r="I8" s="1" t="s">
        <v>57</v>
      </c>
      <c r="J8">
        <v>100</v>
      </c>
      <c r="K8">
        <v>20</v>
      </c>
      <c r="L8">
        <v>20</v>
      </c>
      <c r="M8">
        <v>20</v>
      </c>
      <c r="N8">
        <v>20</v>
      </c>
      <c r="O8" t="s">
        <v>10</v>
      </c>
    </row>
    <row r="9" spans="1:15" x14ac:dyDescent="0.55000000000000004">
      <c r="A9">
        <v>1008</v>
      </c>
      <c r="B9" t="s">
        <v>101</v>
      </c>
      <c r="C9" s="1" t="s">
        <v>20</v>
      </c>
      <c r="D9" t="s">
        <v>23</v>
      </c>
      <c r="E9" s="1" t="s">
        <v>22</v>
      </c>
      <c r="F9" t="s">
        <v>21</v>
      </c>
      <c r="G9" s="1" t="s">
        <v>57</v>
      </c>
      <c r="H9" s="1" t="s">
        <v>21</v>
      </c>
      <c r="I9" s="1" t="s">
        <v>57</v>
      </c>
      <c r="J9">
        <v>100</v>
      </c>
      <c r="K9">
        <v>20</v>
      </c>
      <c r="L9">
        <v>20</v>
      </c>
      <c r="M9">
        <v>20</v>
      </c>
      <c r="N9">
        <v>20</v>
      </c>
      <c r="O9" t="s">
        <v>10</v>
      </c>
    </row>
    <row r="10" spans="1:15" x14ac:dyDescent="0.55000000000000004">
      <c r="A10">
        <v>1009</v>
      </c>
      <c r="B10" t="s">
        <v>103</v>
      </c>
      <c r="C10" s="1" t="s">
        <v>18</v>
      </c>
      <c r="D10" t="s">
        <v>23</v>
      </c>
      <c r="E10" s="1" t="s">
        <v>22</v>
      </c>
      <c r="F10" t="s">
        <v>21</v>
      </c>
      <c r="G10" s="1" t="s">
        <v>57</v>
      </c>
      <c r="H10" s="1" t="s">
        <v>21</v>
      </c>
      <c r="I10" s="1" t="s">
        <v>57</v>
      </c>
      <c r="J10">
        <v>100</v>
      </c>
      <c r="K10">
        <v>20</v>
      </c>
      <c r="L10">
        <v>20</v>
      </c>
      <c r="M10">
        <v>20</v>
      </c>
      <c r="N10">
        <v>20</v>
      </c>
      <c r="O10" t="s">
        <v>10</v>
      </c>
    </row>
    <row r="11" spans="1:15" x14ac:dyDescent="0.55000000000000004">
      <c r="A11">
        <v>1010</v>
      </c>
      <c r="B11" t="s">
        <v>102</v>
      </c>
      <c r="C11" s="1" t="s">
        <v>12</v>
      </c>
      <c r="D11" t="s">
        <v>23</v>
      </c>
      <c r="E11" s="1" t="s">
        <v>22</v>
      </c>
      <c r="F11" t="s">
        <v>21</v>
      </c>
      <c r="G11" s="1" t="s">
        <v>57</v>
      </c>
      <c r="H11" s="1" t="s">
        <v>21</v>
      </c>
      <c r="I11" s="1" t="s">
        <v>57</v>
      </c>
      <c r="J11">
        <v>100</v>
      </c>
      <c r="K11">
        <v>20</v>
      </c>
      <c r="L11">
        <v>20</v>
      </c>
      <c r="M11">
        <v>20</v>
      </c>
      <c r="N11">
        <v>20</v>
      </c>
      <c r="O11" t="s">
        <v>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9D80-B6F8-4637-B17F-FF997CFB0BAB}">
  <dimension ref="A1:O20"/>
  <sheetViews>
    <sheetView workbookViewId="0">
      <selection activeCell="A2" sqref="A2:O20"/>
    </sheetView>
  </sheetViews>
  <sheetFormatPr defaultRowHeight="17.600000000000001" x14ac:dyDescent="0.55000000000000004"/>
  <cols>
    <col min="2" max="2" width="15.0703125" customWidth="1"/>
    <col min="15" max="15" width="12.140625" customWidth="1"/>
  </cols>
  <sheetData>
    <row r="1" spans="1:15" x14ac:dyDescent="0.55000000000000004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58</v>
      </c>
      <c r="H1" t="s">
        <v>30</v>
      </c>
      <c r="I1" t="s">
        <v>69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0</v>
      </c>
    </row>
    <row r="2" spans="1:15" x14ac:dyDescent="0.55000000000000004">
      <c r="A2">
        <v>2001</v>
      </c>
      <c r="B2" t="s">
        <v>105</v>
      </c>
      <c r="C2" s="1" t="s">
        <v>39</v>
      </c>
      <c r="D2" t="s">
        <v>56</v>
      </c>
      <c r="E2" s="1" t="s">
        <v>55</v>
      </c>
      <c r="F2" t="s">
        <v>59</v>
      </c>
      <c r="G2" s="1" t="s">
        <v>64</v>
      </c>
      <c r="H2" t="s">
        <v>74</v>
      </c>
      <c r="I2" s="1" t="s">
        <v>70</v>
      </c>
      <c r="J2">
        <v>300</v>
      </c>
      <c r="K2">
        <v>100</v>
      </c>
      <c r="L2">
        <v>100</v>
      </c>
      <c r="M2">
        <v>100</v>
      </c>
      <c r="N2">
        <v>100</v>
      </c>
      <c r="O2" t="s">
        <v>10</v>
      </c>
    </row>
    <row r="3" spans="1:15" x14ac:dyDescent="0.55000000000000004">
      <c r="A3">
        <v>2002</v>
      </c>
      <c r="B3" t="s">
        <v>109</v>
      </c>
      <c r="C3" s="1" t="s">
        <v>40</v>
      </c>
      <c r="D3" t="s">
        <v>56</v>
      </c>
      <c r="E3" s="1" t="s">
        <v>55</v>
      </c>
      <c r="F3" t="s">
        <v>60</v>
      </c>
      <c r="G3" s="1" t="s">
        <v>65</v>
      </c>
      <c r="H3" t="s">
        <v>75</v>
      </c>
      <c r="I3" s="1" t="s">
        <v>71</v>
      </c>
      <c r="J3">
        <v>300</v>
      </c>
      <c r="K3">
        <v>100</v>
      </c>
      <c r="L3">
        <v>100</v>
      </c>
      <c r="M3">
        <v>100</v>
      </c>
      <c r="N3">
        <v>100</v>
      </c>
      <c r="O3" t="s">
        <v>10</v>
      </c>
    </row>
    <row r="4" spans="1:15" x14ac:dyDescent="0.55000000000000004">
      <c r="A4">
        <v>2003</v>
      </c>
      <c r="B4" t="s">
        <v>118</v>
      </c>
      <c r="C4" s="1" t="s">
        <v>42</v>
      </c>
      <c r="D4" t="s">
        <v>56</v>
      </c>
      <c r="E4" s="1" t="s">
        <v>55</v>
      </c>
      <c r="F4" t="s">
        <v>60</v>
      </c>
      <c r="G4" s="1" t="s">
        <v>65</v>
      </c>
      <c r="H4" t="s">
        <v>76</v>
      </c>
      <c r="I4" s="1" t="s">
        <v>72</v>
      </c>
      <c r="J4">
        <v>300</v>
      </c>
      <c r="K4">
        <v>100</v>
      </c>
      <c r="L4">
        <v>100</v>
      </c>
      <c r="M4">
        <v>100</v>
      </c>
      <c r="N4">
        <v>100</v>
      </c>
      <c r="O4" t="s">
        <v>10</v>
      </c>
    </row>
    <row r="5" spans="1:15" x14ac:dyDescent="0.55000000000000004">
      <c r="A5">
        <v>2004</v>
      </c>
      <c r="B5" t="s">
        <v>120</v>
      </c>
      <c r="C5" s="1" t="s">
        <v>45</v>
      </c>
      <c r="D5" t="s">
        <v>56</v>
      </c>
      <c r="E5" s="1" t="s">
        <v>55</v>
      </c>
      <c r="F5" t="s">
        <v>59</v>
      </c>
      <c r="G5" s="1" t="s">
        <v>64</v>
      </c>
      <c r="H5" t="s">
        <v>76</v>
      </c>
      <c r="I5" s="1" t="s">
        <v>72</v>
      </c>
      <c r="J5">
        <v>300</v>
      </c>
      <c r="K5">
        <v>100</v>
      </c>
      <c r="L5">
        <v>100</v>
      </c>
      <c r="M5">
        <v>100</v>
      </c>
      <c r="N5">
        <v>100</v>
      </c>
      <c r="O5" t="s">
        <v>10</v>
      </c>
    </row>
    <row r="6" spans="1:15" x14ac:dyDescent="0.55000000000000004">
      <c r="A6">
        <v>2005</v>
      </c>
      <c r="B6" t="s">
        <v>106</v>
      </c>
      <c r="C6" s="1" t="s">
        <v>50</v>
      </c>
      <c r="D6" t="s">
        <v>56</v>
      </c>
      <c r="E6" s="1" t="s">
        <v>55</v>
      </c>
      <c r="F6" t="s">
        <v>59</v>
      </c>
      <c r="G6" s="1" t="s">
        <v>64</v>
      </c>
      <c r="H6" t="s">
        <v>77</v>
      </c>
      <c r="I6" s="1" t="s">
        <v>73</v>
      </c>
      <c r="J6">
        <v>300</v>
      </c>
      <c r="K6">
        <v>100</v>
      </c>
      <c r="L6">
        <v>100</v>
      </c>
      <c r="M6">
        <v>100</v>
      </c>
      <c r="N6">
        <v>100</v>
      </c>
      <c r="O6" t="s">
        <v>10</v>
      </c>
    </row>
    <row r="7" spans="1:15" x14ac:dyDescent="0.55000000000000004">
      <c r="A7">
        <v>2006</v>
      </c>
      <c r="B7" t="s">
        <v>121</v>
      </c>
      <c r="C7" s="1" t="s">
        <v>48</v>
      </c>
      <c r="D7" t="s">
        <v>56</v>
      </c>
      <c r="E7" s="1" t="s">
        <v>55</v>
      </c>
      <c r="F7" t="s">
        <v>59</v>
      </c>
      <c r="G7" s="1" t="s">
        <v>64</v>
      </c>
      <c r="H7" t="s">
        <v>77</v>
      </c>
      <c r="I7" s="1" t="s">
        <v>73</v>
      </c>
      <c r="J7">
        <v>300</v>
      </c>
      <c r="K7">
        <v>100</v>
      </c>
      <c r="L7">
        <v>100</v>
      </c>
      <c r="M7">
        <v>100</v>
      </c>
      <c r="N7">
        <v>100</v>
      </c>
      <c r="O7" t="s">
        <v>10</v>
      </c>
    </row>
    <row r="8" spans="1:15" x14ac:dyDescent="0.55000000000000004">
      <c r="A8">
        <v>2007</v>
      </c>
      <c r="B8" t="s">
        <v>117</v>
      </c>
      <c r="C8" s="1" t="s">
        <v>49</v>
      </c>
      <c r="D8" t="s">
        <v>56</v>
      </c>
      <c r="E8" s="1" t="s">
        <v>55</v>
      </c>
      <c r="F8" t="s">
        <v>60</v>
      </c>
      <c r="G8" s="1" t="s">
        <v>65</v>
      </c>
      <c r="H8" t="s">
        <v>75</v>
      </c>
      <c r="I8" s="1" t="s">
        <v>71</v>
      </c>
      <c r="J8">
        <v>300</v>
      </c>
      <c r="K8">
        <v>100</v>
      </c>
      <c r="L8">
        <v>100</v>
      </c>
      <c r="M8">
        <v>100</v>
      </c>
      <c r="N8">
        <v>100</v>
      </c>
      <c r="O8" t="s">
        <v>10</v>
      </c>
    </row>
    <row r="9" spans="1:15" x14ac:dyDescent="0.55000000000000004">
      <c r="A9">
        <v>2008</v>
      </c>
      <c r="B9" t="s">
        <v>111</v>
      </c>
      <c r="C9" s="1" t="s">
        <v>51</v>
      </c>
      <c r="D9" t="s">
        <v>56</v>
      </c>
      <c r="E9" s="1" t="s">
        <v>55</v>
      </c>
      <c r="F9" t="s">
        <v>59</v>
      </c>
      <c r="G9" s="1" t="s">
        <v>64</v>
      </c>
      <c r="H9" t="s">
        <v>75</v>
      </c>
      <c r="I9" s="1" t="s">
        <v>71</v>
      </c>
      <c r="J9">
        <v>300</v>
      </c>
      <c r="K9">
        <v>100</v>
      </c>
      <c r="L9">
        <v>100</v>
      </c>
      <c r="M9">
        <v>100</v>
      </c>
      <c r="N9">
        <v>100</v>
      </c>
      <c r="O9" t="s">
        <v>10</v>
      </c>
    </row>
    <row r="10" spans="1:15" x14ac:dyDescent="0.55000000000000004">
      <c r="A10">
        <v>2009</v>
      </c>
      <c r="B10" t="s">
        <v>114</v>
      </c>
      <c r="C10" s="1" t="s">
        <v>53</v>
      </c>
      <c r="D10" t="s">
        <v>56</v>
      </c>
      <c r="E10" s="1" t="s">
        <v>55</v>
      </c>
      <c r="F10" t="s">
        <v>61</v>
      </c>
      <c r="G10" s="1" t="s">
        <v>66</v>
      </c>
      <c r="H10" t="s">
        <v>76</v>
      </c>
      <c r="I10" s="1" t="s">
        <v>72</v>
      </c>
      <c r="J10">
        <v>300</v>
      </c>
      <c r="K10">
        <v>100</v>
      </c>
      <c r="L10">
        <v>100</v>
      </c>
      <c r="M10">
        <v>100</v>
      </c>
      <c r="N10">
        <v>100</v>
      </c>
      <c r="O10" t="s">
        <v>10</v>
      </c>
    </row>
    <row r="11" spans="1:15" x14ac:dyDescent="0.55000000000000004">
      <c r="A11">
        <v>2010</v>
      </c>
      <c r="B11" t="s">
        <v>110</v>
      </c>
      <c r="C11" s="1" t="s">
        <v>52</v>
      </c>
      <c r="D11" t="s">
        <v>56</v>
      </c>
      <c r="E11" s="1" t="s">
        <v>55</v>
      </c>
      <c r="F11" t="s">
        <v>62</v>
      </c>
      <c r="G11" s="1" t="s">
        <v>67</v>
      </c>
      <c r="H11" t="s">
        <v>74</v>
      </c>
      <c r="I11" s="1" t="s">
        <v>70</v>
      </c>
      <c r="J11">
        <v>300</v>
      </c>
      <c r="K11">
        <v>100</v>
      </c>
      <c r="L11">
        <v>100</v>
      </c>
      <c r="M11">
        <v>100</v>
      </c>
      <c r="N11">
        <v>100</v>
      </c>
      <c r="O11" t="s">
        <v>10</v>
      </c>
    </row>
    <row r="12" spans="1:15" x14ac:dyDescent="0.55000000000000004">
      <c r="A12">
        <v>2011</v>
      </c>
      <c r="B12" t="s">
        <v>107</v>
      </c>
      <c r="C12" s="1" t="s">
        <v>44</v>
      </c>
      <c r="D12" t="s">
        <v>56</v>
      </c>
      <c r="E12" s="1" t="s">
        <v>55</v>
      </c>
      <c r="F12" t="s">
        <v>62</v>
      </c>
      <c r="G12" s="1" t="s">
        <v>67</v>
      </c>
      <c r="H12" t="s">
        <v>77</v>
      </c>
      <c r="I12" s="1" t="s">
        <v>73</v>
      </c>
      <c r="J12">
        <v>300</v>
      </c>
      <c r="K12">
        <v>100</v>
      </c>
      <c r="L12">
        <v>100</v>
      </c>
      <c r="M12">
        <v>100</v>
      </c>
      <c r="N12">
        <v>100</v>
      </c>
      <c r="O12" t="s">
        <v>10</v>
      </c>
    </row>
    <row r="13" spans="1:15" x14ac:dyDescent="0.55000000000000004">
      <c r="A13">
        <v>2012</v>
      </c>
      <c r="B13" t="s">
        <v>123</v>
      </c>
      <c r="C13" s="1" t="s">
        <v>36</v>
      </c>
      <c r="D13" t="s">
        <v>56</v>
      </c>
      <c r="E13" s="1" t="s">
        <v>55</v>
      </c>
      <c r="F13" t="s">
        <v>63</v>
      </c>
      <c r="G13" s="1" t="s">
        <v>68</v>
      </c>
      <c r="H13" t="s">
        <v>74</v>
      </c>
      <c r="I13" s="1" t="s">
        <v>70</v>
      </c>
      <c r="J13">
        <v>300</v>
      </c>
      <c r="K13">
        <v>100</v>
      </c>
      <c r="L13">
        <v>100</v>
      </c>
      <c r="M13">
        <v>100</v>
      </c>
      <c r="N13">
        <v>100</v>
      </c>
      <c r="O13" t="s">
        <v>10</v>
      </c>
    </row>
    <row r="14" spans="1:15" x14ac:dyDescent="0.55000000000000004">
      <c r="A14">
        <v>2013</v>
      </c>
      <c r="B14" t="s">
        <v>112</v>
      </c>
      <c r="C14" s="1" t="s">
        <v>38</v>
      </c>
      <c r="D14" t="s">
        <v>56</v>
      </c>
      <c r="E14" s="1" t="s">
        <v>55</v>
      </c>
      <c r="F14" t="s">
        <v>62</v>
      </c>
      <c r="G14" s="1" t="s">
        <v>67</v>
      </c>
      <c r="H14" t="s">
        <v>74</v>
      </c>
      <c r="I14" s="1" t="s">
        <v>70</v>
      </c>
      <c r="J14">
        <v>300</v>
      </c>
      <c r="K14">
        <v>100</v>
      </c>
      <c r="L14">
        <v>100</v>
      </c>
      <c r="M14">
        <v>100</v>
      </c>
      <c r="N14">
        <v>100</v>
      </c>
      <c r="O14" t="s">
        <v>10</v>
      </c>
    </row>
    <row r="15" spans="1:15" x14ac:dyDescent="0.55000000000000004">
      <c r="A15">
        <v>2014</v>
      </c>
      <c r="B15" t="s">
        <v>119</v>
      </c>
      <c r="C15" s="1" t="s">
        <v>43</v>
      </c>
      <c r="D15" t="s">
        <v>56</v>
      </c>
      <c r="E15" s="1" t="s">
        <v>55</v>
      </c>
      <c r="F15" t="s">
        <v>60</v>
      </c>
      <c r="G15" s="1" t="s">
        <v>65</v>
      </c>
      <c r="H15" t="s">
        <v>77</v>
      </c>
      <c r="I15" s="1" t="s">
        <v>73</v>
      </c>
      <c r="J15">
        <v>300</v>
      </c>
      <c r="K15">
        <v>100</v>
      </c>
      <c r="L15">
        <v>100</v>
      </c>
      <c r="M15">
        <v>100</v>
      </c>
      <c r="N15">
        <v>100</v>
      </c>
      <c r="O15" t="s">
        <v>10</v>
      </c>
    </row>
    <row r="16" spans="1:15" x14ac:dyDescent="0.55000000000000004">
      <c r="A16">
        <v>2015</v>
      </c>
      <c r="B16" t="s">
        <v>122</v>
      </c>
      <c r="C16" s="1" t="s">
        <v>46</v>
      </c>
      <c r="D16" t="s">
        <v>56</v>
      </c>
      <c r="E16" s="1" t="s">
        <v>55</v>
      </c>
      <c r="F16" t="s">
        <v>59</v>
      </c>
      <c r="G16" s="1" t="s">
        <v>64</v>
      </c>
      <c r="H16" t="s">
        <v>75</v>
      </c>
      <c r="I16" s="1" t="s">
        <v>71</v>
      </c>
      <c r="J16">
        <v>300</v>
      </c>
      <c r="K16">
        <v>100</v>
      </c>
      <c r="L16">
        <v>100</v>
      </c>
      <c r="M16">
        <v>100</v>
      </c>
      <c r="N16">
        <v>100</v>
      </c>
      <c r="O16" t="s">
        <v>10</v>
      </c>
    </row>
    <row r="17" spans="1:15" x14ac:dyDescent="0.55000000000000004">
      <c r="A17">
        <v>2016</v>
      </c>
      <c r="B17" t="s">
        <v>115</v>
      </c>
      <c r="C17" s="1" t="s">
        <v>47</v>
      </c>
      <c r="D17" t="s">
        <v>56</v>
      </c>
      <c r="E17" s="1" t="s">
        <v>55</v>
      </c>
      <c r="F17" t="s">
        <v>60</v>
      </c>
      <c r="G17" s="1" t="s">
        <v>65</v>
      </c>
      <c r="H17" t="s">
        <v>76</v>
      </c>
      <c r="I17" s="1" t="s">
        <v>72</v>
      </c>
      <c r="J17">
        <v>300</v>
      </c>
      <c r="K17">
        <v>100</v>
      </c>
      <c r="L17">
        <v>100</v>
      </c>
      <c r="M17">
        <v>100</v>
      </c>
      <c r="N17">
        <v>100</v>
      </c>
      <c r="O17" t="s">
        <v>10</v>
      </c>
    </row>
    <row r="18" spans="1:15" x14ac:dyDescent="0.55000000000000004">
      <c r="A18">
        <v>2017</v>
      </c>
      <c r="B18" t="s">
        <v>113</v>
      </c>
      <c r="C18" s="1" t="s">
        <v>41</v>
      </c>
      <c r="D18" t="s">
        <v>56</v>
      </c>
      <c r="E18" s="1" t="s">
        <v>55</v>
      </c>
      <c r="F18" t="s">
        <v>62</v>
      </c>
      <c r="G18" s="1" t="s">
        <v>67</v>
      </c>
      <c r="H18" t="s">
        <v>74</v>
      </c>
      <c r="I18" s="1" t="s">
        <v>70</v>
      </c>
      <c r="J18">
        <v>300</v>
      </c>
      <c r="K18">
        <v>100</v>
      </c>
      <c r="L18">
        <v>100</v>
      </c>
      <c r="M18">
        <v>100</v>
      </c>
      <c r="N18">
        <v>100</v>
      </c>
      <c r="O18" t="s">
        <v>10</v>
      </c>
    </row>
    <row r="19" spans="1:15" x14ac:dyDescent="0.55000000000000004">
      <c r="A19">
        <v>2018</v>
      </c>
      <c r="B19" t="s">
        <v>108</v>
      </c>
      <c r="C19" s="1" t="s">
        <v>37</v>
      </c>
      <c r="D19" t="s">
        <v>56</v>
      </c>
      <c r="E19" s="1" t="s">
        <v>55</v>
      </c>
      <c r="F19" t="s">
        <v>60</v>
      </c>
      <c r="G19" s="1" t="s">
        <v>65</v>
      </c>
      <c r="H19" t="s">
        <v>76</v>
      </c>
      <c r="I19" s="1" t="s">
        <v>72</v>
      </c>
      <c r="J19">
        <v>300</v>
      </c>
      <c r="K19">
        <v>100</v>
      </c>
      <c r="L19">
        <v>100</v>
      </c>
      <c r="M19">
        <v>100</v>
      </c>
      <c r="N19">
        <v>100</v>
      </c>
      <c r="O19" t="s">
        <v>10</v>
      </c>
    </row>
    <row r="20" spans="1:15" x14ac:dyDescent="0.55000000000000004">
      <c r="A20">
        <v>2019</v>
      </c>
      <c r="B20" t="s">
        <v>116</v>
      </c>
      <c r="C20" s="1" t="s">
        <v>54</v>
      </c>
      <c r="D20" t="s">
        <v>56</v>
      </c>
      <c r="E20" s="1" t="s">
        <v>55</v>
      </c>
      <c r="F20" t="s">
        <v>59</v>
      </c>
      <c r="G20" s="1" t="s">
        <v>64</v>
      </c>
      <c r="H20" t="s">
        <v>76</v>
      </c>
      <c r="I20" s="1" t="s">
        <v>72</v>
      </c>
      <c r="J20">
        <v>300</v>
      </c>
      <c r="K20">
        <v>100</v>
      </c>
      <c r="L20">
        <v>100</v>
      </c>
      <c r="M20">
        <v>100</v>
      </c>
      <c r="N20">
        <v>100</v>
      </c>
      <c r="O20" t="s">
        <v>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277A-D612-42DD-BD41-F36E114C3D17}">
  <dimension ref="A1:O20"/>
  <sheetViews>
    <sheetView workbookViewId="0">
      <selection activeCell="A2" sqref="A2:O16"/>
    </sheetView>
  </sheetViews>
  <sheetFormatPr defaultRowHeight="17.600000000000001" x14ac:dyDescent="0.55000000000000004"/>
  <cols>
    <col min="15" max="15" width="12.85546875" customWidth="1"/>
  </cols>
  <sheetData>
    <row r="1" spans="1:15" x14ac:dyDescent="0.55000000000000004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58</v>
      </c>
      <c r="H1" t="s">
        <v>30</v>
      </c>
      <c r="I1" t="s">
        <v>69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0</v>
      </c>
    </row>
    <row r="2" spans="1:15" x14ac:dyDescent="0.55000000000000004">
      <c r="A2">
        <v>3001</v>
      </c>
      <c r="B2" t="s">
        <v>124</v>
      </c>
      <c r="C2" s="1" t="s">
        <v>79</v>
      </c>
      <c r="D2" t="s">
        <v>93</v>
      </c>
      <c r="E2" s="1" t="s">
        <v>92</v>
      </c>
      <c r="F2" t="s">
        <v>59</v>
      </c>
      <c r="G2" s="1" t="s">
        <v>64</v>
      </c>
      <c r="H2" t="s">
        <v>74</v>
      </c>
      <c r="I2" s="1" t="s">
        <v>70</v>
      </c>
      <c r="J2">
        <v>1000</v>
      </c>
      <c r="K2">
        <v>200</v>
      </c>
      <c r="L2">
        <v>200</v>
      </c>
      <c r="M2">
        <v>200</v>
      </c>
      <c r="N2">
        <v>200</v>
      </c>
      <c r="O2" t="s">
        <v>10</v>
      </c>
    </row>
    <row r="3" spans="1:15" x14ac:dyDescent="0.55000000000000004">
      <c r="A3">
        <v>3002</v>
      </c>
      <c r="B3" t="s">
        <v>129</v>
      </c>
      <c r="C3" s="1" t="s">
        <v>80</v>
      </c>
      <c r="D3" t="s">
        <v>93</v>
      </c>
      <c r="E3" s="1" t="s">
        <v>92</v>
      </c>
      <c r="F3" t="s">
        <v>59</v>
      </c>
      <c r="G3" s="1" t="s">
        <v>64</v>
      </c>
      <c r="H3" t="s">
        <v>77</v>
      </c>
      <c r="I3" s="1" t="s">
        <v>73</v>
      </c>
      <c r="J3">
        <v>1000</v>
      </c>
      <c r="K3">
        <v>200</v>
      </c>
      <c r="L3">
        <v>200</v>
      </c>
      <c r="M3">
        <v>200</v>
      </c>
      <c r="N3">
        <v>200</v>
      </c>
      <c r="O3" t="s">
        <v>10</v>
      </c>
    </row>
    <row r="4" spans="1:15" x14ac:dyDescent="0.55000000000000004">
      <c r="A4">
        <v>3003</v>
      </c>
      <c r="B4" t="s">
        <v>125</v>
      </c>
      <c r="C4" s="1" t="s">
        <v>81</v>
      </c>
      <c r="D4" t="s">
        <v>93</v>
      </c>
      <c r="E4" s="1" t="s">
        <v>92</v>
      </c>
      <c r="F4" t="s">
        <v>59</v>
      </c>
      <c r="G4" s="1" t="s">
        <v>64</v>
      </c>
      <c r="H4" t="s">
        <v>76</v>
      </c>
      <c r="I4" s="1" t="s">
        <v>72</v>
      </c>
      <c r="J4">
        <v>1000</v>
      </c>
      <c r="K4">
        <v>200</v>
      </c>
      <c r="L4">
        <v>200</v>
      </c>
      <c r="M4">
        <v>200</v>
      </c>
      <c r="N4">
        <v>200</v>
      </c>
      <c r="O4" t="s">
        <v>10</v>
      </c>
    </row>
    <row r="5" spans="1:15" x14ac:dyDescent="0.55000000000000004">
      <c r="A5">
        <v>3004</v>
      </c>
      <c r="B5" t="s">
        <v>130</v>
      </c>
      <c r="C5" s="1" t="s">
        <v>94</v>
      </c>
      <c r="D5" t="s">
        <v>93</v>
      </c>
      <c r="E5" s="1" t="s">
        <v>92</v>
      </c>
      <c r="F5" t="s">
        <v>59</v>
      </c>
      <c r="G5" s="1" t="s">
        <v>64</v>
      </c>
      <c r="H5" t="s">
        <v>76</v>
      </c>
      <c r="I5" s="1" t="s">
        <v>72</v>
      </c>
      <c r="J5">
        <v>1000</v>
      </c>
      <c r="K5">
        <v>200</v>
      </c>
      <c r="L5">
        <v>200</v>
      </c>
      <c r="M5">
        <v>200</v>
      </c>
      <c r="N5">
        <v>200</v>
      </c>
      <c r="O5" t="s">
        <v>10</v>
      </c>
    </row>
    <row r="6" spans="1:15" x14ac:dyDescent="0.55000000000000004">
      <c r="A6">
        <v>3007</v>
      </c>
      <c r="B6" t="s">
        <v>137</v>
      </c>
      <c r="C6" s="1" t="s">
        <v>90</v>
      </c>
      <c r="D6" t="s">
        <v>93</v>
      </c>
      <c r="E6" s="1" t="s">
        <v>92</v>
      </c>
      <c r="F6" t="s">
        <v>60</v>
      </c>
      <c r="G6" s="1" t="s">
        <v>65</v>
      </c>
      <c r="H6" t="s">
        <v>75</v>
      </c>
      <c r="I6" s="1" t="s">
        <v>71</v>
      </c>
      <c r="J6">
        <v>1000</v>
      </c>
      <c r="K6">
        <v>200</v>
      </c>
      <c r="L6">
        <v>200</v>
      </c>
      <c r="M6">
        <v>200</v>
      </c>
      <c r="N6">
        <v>200</v>
      </c>
      <c r="O6" t="s">
        <v>10</v>
      </c>
    </row>
    <row r="7" spans="1:15" x14ac:dyDescent="0.55000000000000004">
      <c r="A7">
        <v>3008</v>
      </c>
      <c r="B7" t="s">
        <v>132</v>
      </c>
      <c r="C7" s="1" t="s">
        <v>86</v>
      </c>
      <c r="D7" t="s">
        <v>93</v>
      </c>
      <c r="E7" s="1" t="s">
        <v>92</v>
      </c>
      <c r="F7" t="s">
        <v>59</v>
      </c>
      <c r="G7" s="1" t="s">
        <v>64</v>
      </c>
      <c r="H7" t="s">
        <v>75</v>
      </c>
      <c r="I7" s="1" t="s">
        <v>71</v>
      </c>
      <c r="J7">
        <v>1000</v>
      </c>
      <c r="K7">
        <v>200</v>
      </c>
      <c r="L7">
        <v>200</v>
      </c>
      <c r="M7">
        <v>200</v>
      </c>
      <c r="N7">
        <v>200</v>
      </c>
      <c r="O7" t="s">
        <v>10</v>
      </c>
    </row>
    <row r="8" spans="1:15" x14ac:dyDescent="0.55000000000000004">
      <c r="A8">
        <v>3009</v>
      </c>
      <c r="B8" t="s">
        <v>126</v>
      </c>
      <c r="C8" s="1" t="s">
        <v>87</v>
      </c>
      <c r="D8" t="s">
        <v>93</v>
      </c>
      <c r="E8" s="1" t="s">
        <v>92</v>
      </c>
      <c r="F8" t="s">
        <v>61</v>
      </c>
      <c r="G8" s="1" t="s">
        <v>66</v>
      </c>
      <c r="H8" t="s">
        <v>76</v>
      </c>
      <c r="I8" s="1" t="s">
        <v>72</v>
      </c>
      <c r="J8">
        <v>1000</v>
      </c>
      <c r="K8">
        <v>200</v>
      </c>
      <c r="L8">
        <v>200</v>
      </c>
      <c r="M8">
        <v>200</v>
      </c>
      <c r="N8">
        <v>200</v>
      </c>
      <c r="O8" t="s">
        <v>10</v>
      </c>
    </row>
    <row r="9" spans="1:15" x14ac:dyDescent="0.55000000000000004">
      <c r="A9">
        <v>3010</v>
      </c>
      <c r="B9" t="s">
        <v>135</v>
      </c>
      <c r="C9" s="1" t="s">
        <v>88</v>
      </c>
      <c r="D9" t="s">
        <v>93</v>
      </c>
      <c r="E9" s="1" t="s">
        <v>92</v>
      </c>
      <c r="F9" t="s">
        <v>62</v>
      </c>
      <c r="G9" s="1" t="s">
        <v>67</v>
      </c>
      <c r="H9" t="s">
        <v>74</v>
      </c>
      <c r="I9" s="1" t="s">
        <v>70</v>
      </c>
      <c r="J9">
        <v>1000</v>
      </c>
      <c r="K9">
        <v>200</v>
      </c>
      <c r="L9">
        <v>200</v>
      </c>
      <c r="M9">
        <v>200</v>
      </c>
      <c r="N9">
        <v>200</v>
      </c>
      <c r="O9" t="s">
        <v>10</v>
      </c>
    </row>
    <row r="10" spans="1:15" x14ac:dyDescent="0.55000000000000004">
      <c r="A10">
        <v>3011</v>
      </c>
      <c r="B10" t="s">
        <v>127</v>
      </c>
      <c r="C10" s="1" t="s">
        <v>82</v>
      </c>
      <c r="D10" t="s">
        <v>93</v>
      </c>
      <c r="E10" s="1" t="s">
        <v>92</v>
      </c>
      <c r="F10" t="s">
        <v>62</v>
      </c>
      <c r="G10" s="1" t="s">
        <v>67</v>
      </c>
      <c r="H10" t="s">
        <v>76</v>
      </c>
      <c r="I10" s="1" t="s">
        <v>72</v>
      </c>
      <c r="J10">
        <v>1000</v>
      </c>
      <c r="K10">
        <v>200</v>
      </c>
      <c r="L10">
        <v>200</v>
      </c>
      <c r="M10">
        <v>200</v>
      </c>
      <c r="N10">
        <v>200</v>
      </c>
      <c r="O10" t="s">
        <v>10</v>
      </c>
    </row>
    <row r="11" spans="1:15" x14ac:dyDescent="0.55000000000000004">
      <c r="A11">
        <v>3012</v>
      </c>
      <c r="B11" t="s">
        <v>128</v>
      </c>
      <c r="C11" s="1" t="s">
        <v>83</v>
      </c>
      <c r="D11" t="s">
        <v>93</v>
      </c>
      <c r="E11" s="1" t="s">
        <v>92</v>
      </c>
      <c r="F11" t="s">
        <v>63</v>
      </c>
      <c r="G11" s="1" t="s">
        <v>68</v>
      </c>
      <c r="H11" t="s">
        <v>74</v>
      </c>
      <c r="I11" s="1" t="s">
        <v>70</v>
      </c>
      <c r="J11">
        <v>1000</v>
      </c>
      <c r="K11">
        <v>200</v>
      </c>
      <c r="L11">
        <v>200</v>
      </c>
      <c r="M11">
        <v>200</v>
      </c>
      <c r="N11">
        <v>200</v>
      </c>
      <c r="O11" t="s">
        <v>10</v>
      </c>
    </row>
    <row r="12" spans="1:15" x14ac:dyDescent="0.55000000000000004">
      <c r="A12">
        <v>3013</v>
      </c>
      <c r="B12" t="s">
        <v>131</v>
      </c>
      <c r="C12" s="1" t="s">
        <v>78</v>
      </c>
      <c r="D12" t="s">
        <v>93</v>
      </c>
      <c r="E12" s="1" t="s">
        <v>92</v>
      </c>
      <c r="F12" t="s">
        <v>62</v>
      </c>
      <c r="G12" s="1" t="s">
        <v>67</v>
      </c>
      <c r="H12" t="s">
        <v>74</v>
      </c>
      <c r="I12" s="1" t="s">
        <v>70</v>
      </c>
      <c r="J12">
        <v>1000</v>
      </c>
      <c r="K12">
        <v>200</v>
      </c>
      <c r="L12">
        <v>200</v>
      </c>
      <c r="M12">
        <v>200</v>
      </c>
      <c r="N12">
        <v>200</v>
      </c>
      <c r="O12" t="s">
        <v>10</v>
      </c>
    </row>
    <row r="13" spans="1:15" x14ac:dyDescent="0.55000000000000004">
      <c r="A13">
        <v>3014</v>
      </c>
      <c r="B13" t="s">
        <v>133</v>
      </c>
      <c r="C13" s="1" t="s">
        <v>85</v>
      </c>
      <c r="D13" t="s">
        <v>93</v>
      </c>
      <c r="E13" s="1" t="s">
        <v>92</v>
      </c>
      <c r="F13" t="s">
        <v>60</v>
      </c>
      <c r="G13" s="1" t="s">
        <v>65</v>
      </c>
      <c r="H13" t="s">
        <v>77</v>
      </c>
      <c r="I13" s="1" t="s">
        <v>73</v>
      </c>
      <c r="J13">
        <v>1000</v>
      </c>
      <c r="K13">
        <v>200</v>
      </c>
      <c r="L13">
        <v>200</v>
      </c>
      <c r="M13">
        <v>200</v>
      </c>
      <c r="N13">
        <v>200</v>
      </c>
      <c r="O13" t="s">
        <v>10</v>
      </c>
    </row>
    <row r="14" spans="1:15" x14ac:dyDescent="0.55000000000000004">
      <c r="A14">
        <v>3015</v>
      </c>
      <c r="B14" t="s">
        <v>136</v>
      </c>
      <c r="C14" s="1" t="s">
        <v>89</v>
      </c>
      <c r="D14" t="s">
        <v>93</v>
      </c>
      <c r="E14" s="1" t="s">
        <v>92</v>
      </c>
      <c r="F14" t="s">
        <v>62</v>
      </c>
      <c r="G14" s="1" t="s">
        <v>67</v>
      </c>
      <c r="H14" t="s">
        <v>75</v>
      </c>
      <c r="I14" s="1" t="s">
        <v>71</v>
      </c>
      <c r="J14">
        <v>1000</v>
      </c>
      <c r="K14">
        <v>200</v>
      </c>
      <c r="L14">
        <v>200</v>
      </c>
      <c r="M14">
        <v>200</v>
      </c>
      <c r="N14">
        <v>200</v>
      </c>
      <c r="O14" t="s">
        <v>10</v>
      </c>
    </row>
    <row r="15" spans="1:15" x14ac:dyDescent="0.55000000000000004">
      <c r="A15">
        <v>3016</v>
      </c>
      <c r="B15" t="s">
        <v>138</v>
      </c>
      <c r="C15" s="1" t="s">
        <v>91</v>
      </c>
      <c r="D15" t="s">
        <v>93</v>
      </c>
      <c r="E15" s="1" t="s">
        <v>92</v>
      </c>
      <c r="F15" t="s">
        <v>60</v>
      </c>
      <c r="G15" s="1" t="s">
        <v>65</v>
      </c>
      <c r="H15" t="s">
        <v>74</v>
      </c>
      <c r="I15" s="1" t="s">
        <v>70</v>
      </c>
      <c r="J15">
        <v>1000</v>
      </c>
      <c r="K15">
        <v>200</v>
      </c>
      <c r="L15">
        <v>200</v>
      </c>
      <c r="M15">
        <v>200</v>
      </c>
      <c r="N15">
        <v>200</v>
      </c>
      <c r="O15" t="s">
        <v>10</v>
      </c>
    </row>
    <row r="16" spans="1:15" x14ac:dyDescent="0.55000000000000004">
      <c r="A16">
        <v>3017</v>
      </c>
      <c r="B16" t="s">
        <v>134</v>
      </c>
      <c r="C16" s="1" t="s">
        <v>84</v>
      </c>
      <c r="D16" t="s">
        <v>93</v>
      </c>
      <c r="E16" s="1" t="s">
        <v>92</v>
      </c>
      <c r="F16" t="s">
        <v>63</v>
      </c>
      <c r="G16" s="1" t="s">
        <v>68</v>
      </c>
      <c r="H16" t="s">
        <v>75</v>
      </c>
      <c r="I16" s="1" t="s">
        <v>71</v>
      </c>
      <c r="J16">
        <v>1000</v>
      </c>
      <c r="K16">
        <v>200</v>
      </c>
      <c r="L16">
        <v>200</v>
      </c>
      <c r="M16">
        <v>200</v>
      </c>
      <c r="N16">
        <v>200</v>
      </c>
      <c r="O16" t="s">
        <v>10</v>
      </c>
    </row>
    <row r="19" spans="8:8" x14ac:dyDescent="0.55000000000000004">
      <c r="H19" s="1"/>
    </row>
    <row r="20" spans="8:8" x14ac:dyDescent="0.55000000000000004">
      <c r="H20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6DA1-6182-4200-AD23-D3557DB026A8}">
  <dimension ref="A1:Q11"/>
  <sheetViews>
    <sheetView workbookViewId="0">
      <selection activeCell="A2" sqref="A2:Q11"/>
    </sheetView>
  </sheetViews>
  <sheetFormatPr defaultRowHeight="17.600000000000001" x14ac:dyDescent="0.55000000000000004"/>
  <cols>
    <col min="15" max="15" width="16.0703125" customWidth="1"/>
  </cols>
  <sheetData>
    <row r="1" spans="1:17" x14ac:dyDescent="0.55000000000000004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58</v>
      </c>
      <c r="H1" t="s">
        <v>30</v>
      </c>
      <c r="I1" t="s">
        <v>69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0</v>
      </c>
      <c r="P1" t="s">
        <v>140</v>
      </c>
      <c r="Q1" t="s">
        <v>139</v>
      </c>
    </row>
    <row r="2" spans="1:17" x14ac:dyDescent="0.55000000000000004">
      <c r="A2">
        <v>5001</v>
      </c>
      <c r="B2" t="s">
        <v>95</v>
      </c>
      <c r="C2" s="1" t="s">
        <v>11</v>
      </c>
      <c r="D2" t="s">
        <v>23</v>
      </c>
      <c r="E2" s="1" t="s">
        <v>22</v>
      </c>
      <c r="F2" t="s">
        <v>21</v>
      </c>
      <c r="G2" s="1" t="s">
        <v>57</v>
      </c>
      <c r="H2" s="1" t="s">
        <v>21</v>
      </c>
      <c r="I2" s="1" t="s">
        <v>57</v>
      </c>
      <c r="J2">
        <f>100+20*(P2-1)</f>
        <v>240</v>
      </c>
      <c r="K2">
        <f>20+5*(P2-1)</f>
        <v>55</v>
      </c>
      <c r="L2">
        <f>20+5*(P2-1)</f>
        <v>55</v>
      </c>
      <c r="M2">
        <f>20+5*(P2-1)</f>
        <v>55</v>
      </c>
      <c r="N2">
        <f>20+5*(P2-1)</f>
        <v>55</v>
      </c>
      <c r="O2" t="s">
        <v>10</v>
      </c>
      <c r="P2">
        <v>8</v>
      </c>
      <c r="Q2">
        <f>1+2*(P2-1)</f>
        <v>15</v>
      </c>
    </row>
    <row r="3" spans="1:17" x14ac:dyDescent="0.55000000000000004">
      <c r="A3">
        <v>5002</v>
      </c>
      <c r="B3" t="s">
        <v>96</v>
      </c>
      <c r="C3" s="1" t="s">
        <v>17</v>
      </c>
      <c r="D3" t="s">
        <v>23</v>
      </c>
      <c r="E3" s="1" t="s">
        <v>22</v>
      </c>
      <c r="F3" t="s">
        <v>21</v>
      </c>
      <c r="G3" s="1" t="s">
        <v>57</v>
      </c>
      <c r="H3" s="1" t="s">
        <v>21</v>
      </c>
      <c r="I3" s="1" t="s">
        <v>57</v>
      </c>
      <c r="J3">
        <f t="shared" ref="J3:J11" si="0">100+20*(P3-1)</f>
        <v>220</v>
      </c>
      <c r="K3">
        <f t="shared" ref="K3:K11" si="1">20+5*(P3-1)</f>
        <v>50</v>
      </c>
      <c r="L3">
        <f t="shared" ref="L3:L11" si="2">20+5*(P3-1)</f>
        <v>50</v>
      </c>
      <c r="M3">
        <f t="shared" ref="M3:M11" si="3">20+5*(P3-1)</f>
        <v>50</v>
      </c>
      <c r="N3">
        <v>20</v>
      </c>
      <c r="O3" t="s">
        <v>10</v>
      </c>
      <c r="P3">
        <v>7</v>
      </c>
      <c r="Q3">
        <f t="shared" ref="Q3:Q11" si="4">1+2*(P3-1)</f>
        <v>13</v>
      </c>
    </row>
    <row r="4" spans="1:17" x14ac:dyDescent="0.55000000000000004">
      <c r="A4">
        <v>5003</v>
      </c>
      <c r="B4" t="s">
        <v>97</v>
      </c>
      <c r="C4" s="1" t="s">
        <v>13</v>
      </c>
      <c r="D4" t="s">
        <v>23</v>
      </c>
      <c r="E4" s="1" t="s">
        <v>22</v>
      </c>
      <c r="F4" t="s">
        <v>21</v>
      </c>
      <c r="G4" s="1" t="s">
        <v>57</v>
      </c>
      <c r="H4" s="1" t="s">
        <v>21</v>
      </c>
      <c r="I4" s="1" t="s">
        <v>57</v>
      </c>
      <c r="J4">
        <f t="shared" si="0"/>
        <v>200</v>
      </c>
      <c r="K4">
        <f t="shared" si="1"/>
        <v>45</v>
      </c>
      <c r="L4">
        <f t="shared" si="2"/>
        <v>45</v>
      </c>
      <c r="M4">
        <f t="shared" si="3"/>
        <v>45</v>
      </c>
      <c r="N4">
        <v>20</v>
      </c>
      <c r="O4" t="s">
        <v>10</v>
      </c>
      <c r="P4">
        <v>6</v>
      </c>
      <c r="Q4">
        <f t="shared" si="4"/>
        <v>11</v>
      </c>
    </row>
    <row r="5" spans="1:17" x14ac:dyDescent="0.55000000000000004">
      <c r="A5">
        <v>5004</v>
      </c>
      <c r="B5" t="s">
        <v>98</v>
      </c>
      <c r="C5" s="1" t="s">
        <v>14</v>
      </c>
      <c r="D5" t="s">
        <v>23</v>
      </c>
      <c r="E5" s="1" t="s">
        <v>22</v>
      </c>
      <c r="F5" t="s">
        <v>21</v>
      </c>
      <c r="G5" s="1" t="s">
        <v>57</v>
      </c>
      <c r="H5" s="1" t="s">
        <v>21</v>
      </c>
      <c r="I5" s="1" t="s">
        <v>57</v>
      </c>
      <c r="J5">
        <f t="shared" si="0"/>
        <v>260</v>
      </c>
      <c r="K5">
        <f t="shared" si="1"/>
        <v>60</v>
      </c>
      <c r="L5">
        <f t="shared" si="2"/>
        <v>60</v>
      </c>
      <c r="M5">
        <f t="shared" si="3"/>
        <v>60</v>
      </c>
      <c r="N5">
        <v>20</v>
      </c>
      <c r="O5" t="s">
        <v>10</v>
      </c>
      <c r="P5">
        <v>9</v>
      </c>
      <c r="Q5">
        <f t="shared" si="4"/>
        <v>17</v>
      </c>
    </row>
    <row r="6" spans="1:17" x14ac:dyDescent="0.55000000000000004">
      <c r="A6">
        <v>5005</v>
      </c>
      <c r="B6" t="s">
        <v>100</v>
      </c>
      <c r="C6" s="1" t="s">
        <v>15</v>
      </c>
      <c r="D6" t="s">
        <v>23</v>
      </c>
      <c r="E6" s="1" t="s">
        <v>22</v>
      </c>
      <c r="F6" t="s">
        <v>21</v>
      </c>
      <c r="G6" s="1" t="s">
        <v>57</v>
      </c>
      <c r="H6" s="1" t="s">
        <v>21</v>
      </c>
      <c r="I6" s="1" t="s">
        <v>57</v>
      </c>
      <c r="J6">
        <f t="shared" si="0"/>
        <v>180</v>
      </c>
      <c r="K6">
        <f t="shared" si="1"/>
        <v>40</v>
      </c>
      <c r="L6">
        <f t="shared" si="2"/>
        <v>40</v>
      </c>
      <c r="M6">
        <f t="shared" si="3"/>
        <v>40</v>
      </c>
      <c r="N6">
        <v>20</v>
      </c>
      <c r="O6" t="s">
        <v>10</v>
      </c>
      <c r="P6">
        <v>5</v>
      </c>
      <c r="Q6">
        <f t="shared" si="4"/>
        <v>9</v>
      </c>
    </row>
    <row r="7" spans="1:17" x14ac:dyDescent="0.55000000000000004">
      <c r="A7">
        <v>5006</v>
      </c>
      <c r="B7" t="s">
        <v>99</v>
      </c>
      <c r="C7" s="1" t="s">
        <v>16</v>
      </c>
      <c r="D7" t="s">
        <v>23</v>
      </c>
      <c r="E7" s="1" t="s">
        <v>22</v>
      </c>
      <c r="F7" t="s">
        <v>21</v>
      </c>
      <c r="G7" s="1" t="s">
        <v>57</v>
      </c>
      <c r="H7" s="1" t="s">
        <v>21</v>
      </c>
      <c r="I7" s="1" t="s">
        <v>57</v>
      </c>
      <c r="J7">
        <f t="shared" si="0"/>
        <v>160</v>
      </c>
      <c r="K7">
        <f t="shared" si="1"/>
        <v>35</v>
      </c>
      <c r="L7">
        <f t="shared" si="2"/>
        <v>35</v>
      </c>
      <c r="M7">
        <f t="shared" si="3"/>
        <v>35</v>
      </c>
      <c r="N7">
        <v>20</v>
      </c>
      <c r="O7" t="s">
        <v>10</v>
      </c>
      <c r="P7">
        <v>4</v>
      </c>
      <c r="Q7">
        <f t="shared" si="4"/>
        <v>7</v>
      </c>
    </row>
    <row r="8" spans="1:17" x14ac:dyDescent="0.55000000000000004">
      <c r="A8">
        <v>5007</v>
      </c>
      <c r="B8" t="s">
        <v>104</v>
      </c>
      <c r="C8" s="1" t="s">
        <v>19</v>
      </c>
      <c r="D8" t="s">
        <v>23</v>
      </c>
      <c r="E8" s="1" t="s">
        <v>22</v>
      </c>
      <c r="F8" t="s">
        <v>21</v>
      </c>
      <c r="G8" s="1" t="s">
        <v>57</v>
      </c>
      <c r="H8" s="1" t="s">
        <v>21</v>
      </c>
      <c r="I8" s="1" t="s">
        <v>57</v>
      </c>
      <c r="J8">
        <f t="shared" si="0"/>
        <v>120</v>
      </c>
      <c r="K8">
        <f t="shared" si="1"/>
        <v>25</v>
      </c>
      <c r="L8">
        <f t="shared" si="2"/>
        <v>25</v>
      </c>
      <c r="M8">
        <f t="shared" si="3"/>
        <v>25</v>
      </c>
      <c r="N8">
        <v>20</v>
      </c>
      <c r="O8" t="s">
        <v>10</v>
      </c>
      <c r="P8">
        <v>2</v>
      </c>
      <c r="Q8">
        <f t="shared" si="4"/>
        <v>3</v>
      </c>
    </row>
    <row r="9" spans="1:17" x14ac:dyDescent="0.55000000000000004">
      <c r="A9">
        <v>5008</v>
      </c>
      <c r="B9" t="s">
        <v>101</v>
      </c>
      <c r="C9" s="1" t="s">
        <v>20</v>
      </c>
      <c r="D9" t="s">
        <v>23</v>
      </c>
      <c r="E9" s="1" t="s">
        <v>22</v>
      </c>
      <c r="F9" t="s">
        <v>21</v>
      </c>
      <c r="G9" s="1" t="s">
        <v>57</v>
      </c>
      <c r="H9" s="1" t="s">
        <v>21</v>
      </c>
      <c r="I9" s="1" t="s">
        <v>57</v>
      </c>
      <c r="J9">
        <f t="shared" si="0"/>
        <v>100</v>
      </c>
      <c r="K9">
        <f t="shared" si="1"/>
        <v>20</v>
      </c>
      <c r="L9">
        <f t="shared" si="2"/>
        <v>20</v>
      </c>
      <c r="M9">
        <f t="shared" si="3"/>
        <v>20</v>
      </c>
      <c r="N9">
        <v>20</v>
      </c>
      <c r="O9" t="s">
        <v>10</v>
      </c>
      <c r="P9">
        <v>1</v>
      </c>
      <c r="Q9">
        <f t="shared" si="4"/>
        <v>1</v>
      </c>
    </row>
    <row r="10" spans="1:17" x14ac:dyDescent="0.55000000000000004">
      <c r="A10">
        <v>5009</v>
      </c>
      <c r="B10" t="s">
        <v>103</v>
      </c>
      <c r="C10" s="1" t="s">
        <v>18</v>
      </c>
      <c r="D10" t="s">
        <v>23</v>
      </c>
      <c r="E10" s="1" t="s">
        <v>22</v>
      </c>
      <c r="F10" t="s">
        <v>21</v>
      </c>
      <c r="G10" s="1" t="s">
        <v>57</v>
      </c>
      <c r="H10" s="1" t="s">
        <v>21</v>
      </c>
      <c r="I10" s="1" t="s">
        <v>57</v>
      </c>
      <c r="J10">
        <f t="shared" si="0"/>
        <v>260</v>
      </c>
      <c r="K10">
        <f t="shared" si="1"/>
        <v>60</v>
      </c>
      <c r="L10">
        <f t="shared" si="2"/>
        <v>60</v>
      </c>
      <c r="M10">
        <f t="shared" si="3"/>
        <v>60</v>
      </c>
      <c r="N10">
        <v>20</v>
      </c>
      <c r="O10" t="s">
        <v>10</v>
      </c>
      <c r="P10">
        <v>9</v>
      </c>
      <c r="Q10">
        <f t="shared" si="4"/>
        <v>17</v>
      </c>
    </row>
    <row r="11" spans="1:17" x14ac:dyDescent="0.55000000000000004">
      <c r="A11">
        <v>5010</v>
      </c>
      <c r="B11" t="s">
        <v>102</v>
      </c>
      <c r="C11" s="1" t="s">
        <v>12</v>
      </c>
      <c r="D11" t="s">
        <v>23</v>
      </c>
      <c r="E11" s="1" t="s">
        <v>22</v>
      </c>
      <c r="F11" t="s">
        <v>21</v>
      </c>
      <c r="G11" s="1" t="s">
        <v>57</v>
      </c>
      <c r="H11" s="1" t="s">
        <v>21</v>
      </c>
      <c r="I11" s="1" t="s">
        <v>57</v>
      </c>
      <c r="J11">
        <f t="shared" si="0"/>
        <v>140</v>
      </c>
      <c r="K11">
        <f t="shared" si="1"/>
        <v>30</v>
      </c>
      <c r="L11">
        <f t="shared" si="2"/>
        <v>30</v>
      </c>
      <c r="M11">
        <f t="shared" si="3"/>
        <v>30</v>
      </c>
      <c r="N11">
        <v>20</v>
      </c>
      <c r="O11" t="s">
        <v>10</v>
      </c>
      <c r="P11">
        <v>3</v>
      </c>
      <c r="Q11">
        <f t="shared" si="4"/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PlayerStatus</vt:lpstr>
      <vt:lpstr>EnemyStatus</vt:lpstr>
      <vt:lpstr>GrowthType</vt:lpstr>
      <vt:lpstr>BabyStatus</vt:lpstr>
      <vt:lpstr>RookieStatus</vt:lpstr>
      <vt:lpstr>ChampionStatus</vt:lpstr>
      <vt:lpstr>VillageEast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태웅 김</dc:creator>
  <cp:lastModifiedBy>태웅 김</cp:lastModifiedBy>
  <dcterms:created xsi:type="dcterms:W3CDTF">2026-05-04T01:49:52Z</dcterms:created>
  <dcterms:modified xsi:type="dcterms:W3CDTF">2026-05-15T08:32:55Z</dcterms:modified>
</cp:coreProperties>
</file>